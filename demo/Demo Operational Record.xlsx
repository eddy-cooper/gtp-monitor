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t 25" sheetId="1" state="visible" r:id="rId1"/>
    <sheet name="Nov 25" sheetId="2" state="visible" r:id="rId2"/>
    <sheet name="Dec 25" sheetId="3" state="visible" r:id="rId3"/>
    <sheet name="Jan 26" sheetId="4" state="visible" r:id="rId4"/>
    <sheet name="Feb 26" sheetId="5" state="visible" r:id="rId5"/>
    <sheet name="Mar 26" sheetId="6" state="visible" r:id="rId6"/>
    <sheet name="Apr 26" sheetId="7" state="visible" r:id="rId7"/>
    <sheet name="May 26" sheetId="8" state="visible" r:id="rId8"/>
    <sheet name="Jun 26" sheetId="9" state="visible" r:id="rId9"/>
    <sheet name="Jul 26" sheetId="10" state="visible" r:id="rId10"/>
    <sheet name="Aug 2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57"/>
  <sheetViews>
    <sheetView workbookViewId="0">
      <selection activeCell="A1" sqref="A1"/>
    </sheetView>
  </sheetViews>
  <sheetFormatPr baseColWidth="8" defaultRowHeight="15"/>
  <sheetData>
    <row r="2">
      <c r="D2" t="inlineStr">
        <is>
          <t>Snapshot</t>
        </is>
      </c>
      <c r="E2" t="n">
        <v>2.4</v>
      </c>
      <c r="F2" t="n">
        <v>4.1</v>
      </c>
      <c r="G2" t="n">
        <v>3.2</v>
      </c>
      <c r="H2" t="n">
        <v>0</v>
      </c>
      <c r="I2" t="n">
        <v>1.8</v>
      </c>
      <c r="L2" t="inlineStr">
        <is>
          <t>30 Sep @ midnight</t>
        </is>
      </c>
    </row>
    <row r="3">
      <c r="D3" t="inlineStr">
        <is>
          <t>Snapshot</t>
        </is>
      </c>
      <c r="E3" t="n">
        <v>2.99</v>
      </c>
      <c r="F3" t="n">
        <v>3.96</v>
      </c>
      <c r="G3" t="n">
        <v>2.99</v>
      </c>
      <c r="H3" t="n">
        <v>0</v>
      </c>
      <c r="I3" t="n">
        <v>2.9</v>
      </c>
      <c r="L3" t="inlineStr">
        <is>
          <t>31 Oct @ midnight</t>
        </is>
      </c>
    </row>
    <row r="6">
      <c r="A6" t="inlineStr">
        <is>
          <t>Month:</t>
        </is>
      </c>
      <c r="D6" t="inlineStr">
        <is>
          <t>October</t>
        </is>
      </c>
      <c r="E6" t="n">
        <v>2025</v>
      </c>
    </row>
    <row r="7">
      <c r="B7" t="inlineStr">
        <is>
          <t>Day</t>
        </is>
      </c>
      <c r="C7" t="inlineStr">
        <is>
          <t>Op</t>
        </is>
      </c>
      <c r="D7" t="inlineStr">
        <is>
          <t>Comments</t>
        </is>
      </c>
      <c r="F7" t="inlineStr">
        <is>
          <t>Error kL</t>
        </is>
      </c>
      <c r="G7" t="inlineStr">
        <is>
          <t>FIT0101 kL</t>
        </is>
      </c>
      <c r="I7" t="inlineStr">
        <is>
          <t>FIT0501 kL</t>
        </is>
      </c>
      <c r="K7" t="inlineStr">
        <is>
          <t>Bores</t>
        </is>
      </c>
      <c r="O7" t="inlineStr">
        <is>
          <t>AE pump grease</t>
        </is>
      </c>
      <c r="P7" t="inlineStr">
        <is>
          <t>Air compressor drain</t>
        </is>
      </c>
      <c r="Q7" t="inlineStr">
        <is>
          <t>Bag filter swap</t>
        </is>
      </c>
      <c r="R7" t="inlineStr">
        <is>
          <t>Dosing pump check</t>
        </is>
      </c>
      <c r="S7" t="inlineStr">
        <is>
          <t>pH probe calibration</t>
        </is>
      </c>
      <c r="T7" t="inlineStr">
        <is>
          <t>Flow meter verify</t>
        </is>
      </c>
      <c r="U7" t="inlineStr">
        <is>
          <t>Sight glass clean</t>
        </is>
      </c>
      <c r="V7" t="inlineStr">
        <is>
          <t>Cabinet filter</t>
        </is>
      </c>
      <c r="W7" t="inlineStr">
        <is>
          <t>Oil level check</t>
        </is>
      </c>
      <c r="X7" t="inlineStr">
        <is>
          <t>Alarm lamp test</t>
        </is>
      </c>
    </row>
    <row r="9">
      <c r="B9" t="n">
        <v>1</v>
      </c>
      <c r="C9" t="n">
        <v>1</v>
      </c>
      <c r="G9" t="n">
        <v>34.7</v>
      </c>
      <c r="I9" t="n">
        <v>36.2</v>
      </c>
      <c r="K9" t="inlineStr">
        <is>
          <t>All ON</t>
        </is>
      </c>
    </row>
    <row r="10">
      <c r="B10" t="n">
        <v>2</v>
      </c>
      <c r="C10" t="n">
        <v>1</v>
      </c>
      <c r="G10" t="n">
        <v>42.9</v>
      </c>
      <c r="I10" t="n">
        <v>42.5</v>
      </c>
      <c r="K10" t="inlineStr">
        <is>
          <t>All ON</t>
        </is>
      </c>
    </row>
    <row r="11">
      <c r="B11" t="n">
        <v>3</v>
      </c>
      <c r="C11" t="n">
        <v>1</v>
      </c>
      <c r="G11" t="n">
        <v>39.4</v>
      </c>
      <c r="I11" t="n">
        <v>39.6</v>
      </c>
      <c r="K11" t="inlineStr">
        <is>
          <t>All ON</t>
        </is>
      </c>
    </row>
    <row r="12">
      <c r="B12" t="n">
        <v>4</v>
      </c>
      <c r="C12" t="n">
        <v>1</v>
      </c>
      <c r="G12" t="n">
        <v>41.5</v>
      </c>
      <c r="I12" t="n">
        <v>42.8</v>
      </c>
      <c r="K12" t="inlineStr">
        <is>
          <t>All ON</t>
        </is>
      </c>
    </row>
    <row r="13">
      <c r="B13" t="n">
        <v>5</v>
      </c>
      <c r="C13" t="n">
        <v>1</v>
      </c>
      <c r="G13" t="n">
        <v>34.2</v>
      </c>
      <c r="I13" t="n">
        <v>33.1</v>
      </c>
      <c r="K13" t="inlineStr">
        <is>
          <t>All ON</t>
        </is>
      </c>
    </row>
    <row r="14">
      <c r="B14" t="n">
        <v>6</v>
      </c>
      <c r="C14" t="n">
        <v>1</v>
      </c>
      <c r="G14" t="n">
        <v>43.9</v>
      </c>
      <c r="I14" t="n">
        <v>44.1</v>
      </c>
      <c r="K14" t="inlineStr">
        <is>
          <t>All ON</t>
        </is>
      </c>
    </row>
    <row r="15">
      <c r="B15" t="n">
        <v>7</v>
      </c>
      <c r="C15" t="n">
        <v>1</v>
      </c>
      <c r="G15" t="n">
        <v>42.9</v>
      </c>
      <c r="I15" t="n">
        <v>41.7</v>
      </c>
      <c r="K15" t="inlineStr">
        <is>
          <t>All ON</t>
        </is>
      </c>
    </row>
    <row r="16">
      <c r="B16" t="n">
        <v>8</v>
      </c>
      <c r="C16" t="n">
        <v>1</v>
      </c>
      <c r="G16" t="n">
        <v>38.8</v>
      </c>
      <c r="I16" t="n">
        <v>39.9</v>
      </c>
      <c r="K16" t="inlineStr">
        <is>
          <t>All ON</t>
        </is>
      </c>
    </row>
    <row r="17">
      <c r="B17" t="n">
        <v>9</v>
      </c>
      <c r="C17" t="n">
        <v>1</v>
      </c>
      <c r="G17" t="n">
        <v>36</v>
      </c>
      <c r="I17" t="n">
        <v>37.8</v>
      </c>
      <c r="K17" t="inlineStr">
        <is>
          <t>All ON</t>
        </is>
      </c>
    </row>
    <row r="18">
      <c r="B18" t="n">
        <v>10</v>
      </c>
      <c r="C18" t="n">
        <v>1</v>
      </c>
      <c r="G18" t="n">
        <v>44.7</v>
      </c>
      <c r="I18" t="n">
        <v>43.6</v>
      </c>
      <c r="K18" t="inlineStr">
        <is>
          <t>All ON</t>
        </is>
      </c>
    </row>
    <row r="19">
      <c r="B19" t="n">
        <v>11</v>
      </c>
      <c r="C19" t="n">
        <v>1</v>
      </c>
      <c r="G19" t="n">
        <v>33.3</v>
      </c>
      <c r="I19" t="n">
        <v>33.8</v>
      </c>
      <c r="K19" t="inlineStr">
        <is>
          <t>All ON</t>
        </is>
      </c>
    </row>
    <row r="20">
      <c r="B20" t="n">
        <v>12</v>
      </c>
      <c r="C20" t="n">
        <v>1</v>
      </c>
      <c r="G20" t="n">
        <v>45.2</v>
      </c>
      <c r="I20" t="n">
        <v>45.2</v>
      </c>
      <c r="K20" t="inlineStr">
        <is>
          <t>All ON</t>
        </is>
      </c>
    </row>
    <row r="21">
      <c r="B21" t="n">
        <v>13</v>
      </c>
      <c r="C21" t="n">
        <v>1</v>
      </c>
      <c r="G21" t="n">
        <v>35.8</v>
      </c>
      <c r="I21" t="n">
        <v>36</v>
      </c>
      <c r="K21" t="inlineStr">
        <is>
          <t>All ON</t>
        </is>
      </c>
      <c r="V21" s="1" t="n">
        <v>45943.375</v>
      </c>
    </row>
    <row r="22">
      <c r="B22" t="n">
        <v>14</v>
      </c>
      <c r="C22" t="n">
        <v>1</v>
      </c>
      <c r="G22" t="n">
        <v>33.4</v>
      </c>
      <c r="I22" t="n">
        <v>32.9</v>
      </c>
      <c r="K22" t="inlineStr">
        <is>
          <t>All ON</t>
        </is>
      </c>
      <c r="O22" s="1" t="n">
        <v>45944.375</v>
      </c>
    </row>
    <row r="23">
      <c r="B23" t="n">
        <v>15</v>
      </c>
      <c r="C23" t="n">
        <v>1</v>
      </c>
      <c r="G23" t="n">
        <v>38.7</v>
      </c>
      <c r="I23" t="n">
        <v>39.1</v>
      </c>
      <c r="K23" t="inlineStr">
        <is>
          <t>All ON</t>
        </is>
      </c>
    </row>
    <row r="24">
      <c r="B24" t="n">
        <v>16</v>
      </c>
      <c r="C24" t="n">
        <v>1</v>
      </c>
      <c r="G24" t="n">
        <v>36</v>
      </c>
      <c r="I24" t="n">
        <v>35.5</v>
      </c>
      <c r="K24" t="inlineStr">
        <is>
          <t>All ON</t>
        </is>
      </c>
    </row>
    <row r="25">
      <c r="B25" t="n">
        <v>17</v>
      </c>
      <c r="C25" t="n">
        <v>1</v>
      </c>
      <c r="G25" t="n">
        <v>35.8</v>
      </c>
      <c r="I25" t="n">
        <v>36.1</v>
      </c>
      <c r="K25" t="inlineStr">
        <is>
          <t>All ON</t>
        </is>
      </c>
    </row>
    <row r="26">
      <c r="B26" t="n">
        <v>18</v>
      </c>
      <c r="C26" t="n">
        <v>1</v>
      </c>
      <c r="G26" t="n">
        <v>36.8</v>
      </c>
      <c r="I26" t="n">
        <v>35.7</v>
      </c>
      <c r="K26" t="inlineStr">
        <is>
          <t>All ON</t>
        </is>
      </c>
    </row>
    <row r="27">
      <c r="B27" t="n">
        <v>19</v>
      </c>
      <c r="C27" t="n">
        <v>1</v>
      </c>
      <c r="G27" t="n">
        <v>43.9</v>
      </c>
      <c r="I27" t="n">
        <v>44.5</v>
      </c>
      <c r="K27" t="inlineStr">
        <is>
          <t>All ON</t>
        </is>
      </c>
    </row>
    <row r="28">
      <c r="B28" t="n">
        <v>20</v>
      </c>
      <c r="C28" t="n">
        <v>1</v>
      </c>
      <c r="G28" t="n">
        <v>41.3</v>
      </c>
      <c r="I28" t="n">
        <v>40.7</v>
      </c>
      <c r="K28" t="inlineStr">
        <is>
          <t>All ON</t>
        </is>
      </c>
    </row>
    <row r="29">
      <c r="B29" t="n">
        <v>21</v>
      </c>
      <c r="C29" t="n">
        <v>1</v>
      </c>
      <c r="G29" t="n">
        <v>45.9</v>
      </c>
      <c r="I29" t="n">
        <v>47.5</v>
      </c>
      <c r="K29" t="inlineStr">
        <is>
          <t>All ON</t>
        </is>
      </c>
    </row>
    <row r="30">
      <c r="B30" t="n">
        <v>22</v>
      </c>
      <c r="C30" t="n">
        <v>1</v>
      </c>
      <c r="D30" t="inlineStr">
        <is>
          <t>Sample run collected</t>
        </is>
      </c>
      <c r="G30" t="n">
        <v>34.6</v>
      </c>
      <c r="I30" t="n">
        <v>34.5</v>
      </c>
      <c r="K30" t="inlineStr">
        <is>
          <t>All ON</t>
        </is>
      </c>
    </row>
    <row r="31">
      <c r="B31" t="n">
        <v>23</v>
      </c>
      <c r="C31" t="n">
        <v>1</v>
      </c>
      <c r="D31" t="inlineStr">
        <is>
          <t>Heavy rain overnight, no issues</t>
        </is>
      </c>
      <c r="G31" t="n">
        <v>42.4</v>
      </c>
      <c r="I31" t="n">
        <v>43.5</v>
      </c>
      <c r="K31" t="inlineStr">
        <is>
          <t>All ON</t>
        </is>
      </c>
    </row>
    <row r="32">
      <c r="B32" t="n">
        <v>24</v>
      </c>
      <c r="C32" t="n">
        <v>1</v>
      </c>
      <c r="G32" t="n">
        <v>45.2</v>
      </c>
      <c r="I32" t="n">
        <v>45.4</v>
      </c>
      <c r="K32" t="inlineStr">
        <is>
          <t>All ON</t>
        </is>
      </c>
    </row>
    <row r="33">
      <c r="B33" t="n">
        <v>25</v>
      </c>
      <c r="C33" t="n">
        <v>1</v>
      </c>
      <c r="D33" t="inlineStr">
        <is>
          <t>s.v - routine site check</t>
        </is>
      </c>
      <c r="G33" t="n">
        <v>43.8</v>
      </c>
      <c r="I33" t="n">
        <v>44.7</v>
      </c>
      <c r="K33" t="inlineStr">
        <is>
          <t>All ON</t>
        </is>
      </c>
    </row>
    <row r="34">
      <c r="B34" t="n">
        <v>26</v>
      </c>
      <c r="C34" t="n">
        <v>1</v>
      </c>
      <c r="G34" t="n">
        <v>36.9</v>
      </c>
      <c r="I34" t="n">
        <v>37.6</v>
      </c>
      <c r="K34" t="inlineStr">
        <is>
          <t>All ON</t>
        </is>
      </c>
    </row>
    <row r="35">
      <c r="B35" t="n">
        <v>27</v>
      </c>
      <c r="C35" t="n">
        <v>1</v>
      </c>
      <c r="G35" t="n">
        <v>44.5</v>
      </c>
      <c r="I35" t="n">
        <v>46</v>
      </c>
      <c r="K35" t="inlineStr">
        <is>
          <t>All ON</t>
        </is>
      </c>
    </row>
    <row r="36">
      <c r="B36" t="n">
        <v>28</v>
      </c>
      <c r="C36" t="n">
        <v>1</v>
      </c>
      <c r="G36" t="n">
        <v>39.6</v>
      </c>
      <c r="I36" t="n">
        <v>40.3</v>
      </c>
      <c r="K36" t="inlineStr">
        <is>
          <t>All ON</t>
        </is>
      </c>
      <c r="V36" s="1" t="n">
        <v>45958.375</v>
      </c>
    </row>
    <row r="37">
      <c r="B37" t="n">
        <v>29</v>
      </c>
      <c r="C37" t="n">
        <v>1</v>
      </c>
      <c r="G37" t="n">
        <v>33.4</v>
      </c>
      <c r="I37" t="n">
        <v>33</v>
      </c>
      <c r="K37" t="inlineStr">
        <is>
          <t>All ON</t>
        </is>
      </c>
    </row>
    <row r="38">
      <c r="B38" t="n">
        <v>30</v>
      </c>
      <c r="C38" t="n">
        <v>1</v>
      </c>
      <c r="G38" t="n">
        <v>43.4</v>
      </c>
      <c r="I38" t="n">
        <v>43.5</v>
      </c>
      <c r="K38" t="inlineStr">
        <is>
          <t>All ON</t>
        </is>
      </c>
    </row>
    <row r="39">
      <c r="B39" t="n">
        <v>31</v>
      </c>
      <c r="C39" t="n">
        <v>1</v>
      </c>
      <c r="G39" t="n">
        <v>35.2</v>
      </c>
      <c r="I39" t="n">
        <v>35.8</v>
      </c>
      <c r="K39" t="inlineStr">
        <is>
          <t>All ON</t>
        </is>
      </c>
    </row>
    <row r="51">
      <c r="L51">
        <f>1655.1-1650.0+(0/30*5.3)</f>
        <v/>
      </c>
      <c r="N51" t="n">
        <v>5.1</v>
      </c>
    </row>
    <row r="53">
      <c r="O53" t="n">
        <v>1</v>
      </c>
      <c r="P53" t="n">
        <v>0.92</v>
      </c>
      <c r="Q53" t="n">
        <v>1.24</v>
      </c>
      <c r="R53" t="n">
        <v>1.05</v>
      </c>
    </row>
    <row r="54">
      <c r="O54" t="n">
        <v>3.2</v>
      </c>
    </row>
    <row r="57">
      <c r="G57" t="inlineStr">
        <is>
          <t>Hand balance (legacy)</t>
        </is>
      </c>
      <c r="L57" t="n">
        <v>1.5</v>
      </c>
      <c r="N57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X57"/>
  <sheetViews>
    <sheetView workbookViewId="0">
      <selection activeCell="A1" sqref="A1"/>
    </sheetView>
  </sheetViews>
  <sheetFormatPr baseColWidth="8" defaultRowHeight="15"/>
  <sheetData>
    <row r="2">
      <c r="D2" t="inlineStr">
        <is>
          <t>Snapshot</t>
        </is>
      </c>
      <c r="E2" t="n">
        <v>2.99</v>
      </c>
      <c r="F2" t="n">
        <v>3.96</v>
      </c>
      <c r="G2" t="n">
        <v>2.99</v>
      </c>
      <c r="H2" t="n">
        <v>0</v>
      </c>
      <c r="I2" t="n">
        <v>2.9</v>
      </c>
      <c r="L2" t="inlineStr">
        <is>
          <t>31 Oct @ midnight</t>
        </is>
      </c>
    </row>
    <row r="3">
      <c r="D3" t="inlineStr">
        <is>
          <t>Snapshot</t>
        </is>
      </c>
      <c r="E3" t="n">
        <v>2.24</v>
      </c>
      <c r="F3" t="n">
        <v>3.37</v>
      </c>
      <c r="G3" t="n">
        <v>2.67</v>
      </c>
      <c r="H3" t="n">
        <v>0</v>
      </c>
      <c r="I3" t="n">
        <v>2.07</v>
      </c>
      <c r="L3" t="inlineStr">
        <is>
          <t>30 Nov @ 1145pm</t>
        </is>
      </c>
    </row>
    <row r="6">
      <c r="A6" t="inlineStr">
        <is>
          <t>Month:</t>
        </is>
      </c>
      <c r="D6" t="inlineStr">
        <is>
          <t>November</t>
        </is>
      </c>
      <c r="E6" t="n">
        <v>2025</v>
      </c>
    </row>
    <row r="7">
      <c r="B7" t="inlineStr">
        <is>
          <t>Day</t>
        </is>
      </c>
      <c r="C7" t="inlineStr">
        <is>
          <t>Op</t>
        </is>
      </c>
      <c r="D7" t="inlineStr">
        <is>
          <t>Comments</t>
        </is>
      </c>
      <c r="F7" t="inlineStr">
        <is>
          <t>Error kL</t>
        </is>
      </c>
      <c r="G7" t="inlineStr">
        <is>
          <t>FIT0101 kL</t>
        </is>
      </c>
      <c r="I7" t="inlineStr">
        <is>
          <t>FIT0501 kL</t>
        </is>
      </c>
      <c r="K7" t="inlineStr">
        <is>
          <t>Bores</t>
        </is>
      </c>
      <c r="O7" t="inlineStr">
        <is>
          <t>AE pump grease</t>
        </is>
      </c>
      <c r="P7" t="inlineStr">
        <is>
          <t>Air compressor drain</t>
        </is>
      </c>
      <c r="Q7" t="inlineStr">
        <is>
          <t>Bag filter swap</t>
        </is>
      </c>
      <c r="R7" t="inlineStr">
        <is>
          <t>Dosing pump check</t>
        </is>
      </c>
      <c r="S7" t="inlineStr">
        <is>
          <t>pH probe calibration</t>
        </is>
      </c>
      <c r="T7" t="inlineStr">
        <is>
          <t>Flow meter verify</t>
        </is>
      </c>
      <c r="U7" t="inlineStr">
        <is>
          <t>Sight glass clean</t>
        </is>
      </c>
      <c r="V7" t="inlineStr">
        <is>
          <t>Cabinet filter</t>
        </is>
      </c>
      <c r="W7" t="inlineStr">
        <is>
          <t>Oil level check</t>
        </is>
      </c>
      <c r="X7" t="inlineStr">
        <is>
          <t>Alarm lamp test</t>
        </is>
      </c>
    </row>
    <row r="12">
      <c r="B12" t="n">
        <v>1</v>
      </c>
      <c r="C12" t="n">
        <v>1</v>
      </c>
      <c r="G12" t="n">
        <v>33.6</v>
      </c>
      <c r="I12" t="n">
        <v>34.7</v>
      </c>
      <c r="K12" t="inlineStr">
        <is>
          <t>All ON</t>
        </is>
      </c>
      <c r="T12" s="1" t="n">
        <v>45962.375</v>
      </c>
    </row>
    <row r="13">
      <c r="B13" t="n">
        <v>2</v>
      </c>
      <c r="C13" t="n">
        <v>1</v>
      </c>
      <c r="G13" t="n">
        <v>45.8</v>
      </c>
      <c r="I13" t="n">
        <v>46.5</v>
      </c>
      <c r="K13" t="inlineStr">
        <is>
          <t>All ON</t>
        </is>
      </c>
    </row>
    <row r="14">
      <c r="B14" t="n">
        <v>3</v>
      </c>
      <c r="C14" t="n">
        <v>1</v>
      </c>
      <c r="G14" t="n">
        <v>38.1</v>
      </c>
      <c r="I14" t="n">
        <v>37.4</v>
      </c>
      <c r="K14" t="inlineStr">
        <is>
          <t>All ON</t>
        </is>
      </c>
    </row>
    <row r="15">
      <c r="B15" t="n">
        <v>4</v>
      </c>
      <c r="C15" t="n">
        <v>1</v>
      </c>
      <c r="G15" t="n">
        <v>39.5</v>
      </c>
      <c r="I15" t="n">
        <v>41.4</v>
      </c>
      <c r="K15" t="inlineStr">
        <is>
          <t>All ON</t>
        </is>
      </c>
    </row>
    <row r="16">
      <c r="B16" t="n">
        <v>5</v>
      </c>
      <c r="C16" t="n">
        <v>1</v>
      </c>
      <c r="G16" t="n">
        <v>43</v>
      </c>
      <c r="I16" t="n">
        <v>43.5</v>
      </c>
      <c r="K16" t="inlineStr">
        <is>
          <t>All ON</t>
        </is>
      </c>
    </row>
    <row r="17">
      <c r="B17" t="n">
        <v>6</v>
      </c>
      <c r="C17" t="n">
        <v>1</v>
      </c>
      <c r="D17" t="inlineStr">
        <is>
          <t>Greased AE pump, all normal</t>
        </is>
      </c>
      <c r="G17" t="n">
        <v>44.2</v>
      </c>
      <c r="I17" t="n">
        <v>43.7</v>
      </c>
      <c r="K17" t="inlineStr">
        <is>
          <t>All ON</t>
        </is>
      </c>
    </row>
    <row r="18">
      <c r="B18" t="n">
        <v>7</v>
      </c>
      <c r="C18" t="n">
        <v>1</v>
      </c>
      <c r="G18" t="n">
        <v>39.7</v>
      </c>
      <c r="I18" t="n">
        <v>41.5</v>
      </c>
      <c r="K18" t="inlineStr">
        <is>
          <t>All ON</t>
        </is>
      </c>
    </row>
    <row r="19">
      <c r="B19" t="n">
        <v>8</v>
      </c>
      <c r="C19" t="n">
        <v>1</v>
      </c>
      <c r="G19" t="n">
        <v>40.5</v>
      </c>
      <c r="I19" t="n">
        <v>40.8</v>
      </c>
      <c r="K19" t="inlineStr">
        <is>
          <t>All ON</t>
        </is>
      </c>
    </row>
    <row r="20">
      <c r="B20" t="n">
        <v>9</v>
      </c>
      <c r="C20" t="n">
        <v>1</v>
      </c>
      <c r="D20" t="inlineStr">
        <is>
          <t>Heavy rain overnight, no issues</t>
        </is>
      </c>
      <c r="G20" t="n">
        <v>36.5</v>
      </c>
      <c r="I20" t="n">
        <v>37.1</v>
      </c>
      <c r="K20" t="inlineStr">
        <is>
          <t>All ON</t>
        </is>
      </c>
    </row>
    <row r="21">
      <c r="B21" t="n">
        <v>10</v>
      </c>
      <c r="C21" t="n">
        <v>1</v>
      </c>
      <c r="G21" t="n">
        <v>45.4</v>
      </c>
      <c r="I21" t="n">
        <v>44.2</v>
      </c>
      <c r="K21" t="inlineStr">
        <is>
          <t>All ON</t>
        </is>
      </c>
    </row>
    <row r="22">
      <c r="B22" t="n">
        <v>11</v>
      </c>
      <c r="C22" t="n">
        <v>1</v>
      </c>
      <c r="G22" t="n">
        <v>43.2</v>
      </c>
      <c r="I22" t="n">
        <v>44.6</v>
      </c>
      <c r="K22" t="inlineStr">
        <is>
          <t>All ON</t>
        </is>
      </c>
      <c r="U22" s="1" t="n">
        <v>45972.375</v>
      </c>
    </row>
    <row r="23">
      <c r="B23" t="n">
        <v>12</v>
      </c>
      <c r="C23" t="n">
        <v>1</v>
      </c>
      <c r="G23" t="n">
        <v>44.5</v>
      </c>
      <c r="I23" t="n">
        <v>45.7</v>
      </c>
      <c r="K23" t="inlineStr">
        <is>
          <t>All ON</t>
        </is>
      </c>
    </row>
    <row r="24">
      <c r="B24" t="n">
        <v>13</v>
      </c>
      <c r="C24" t="n">
        <v>1</v>
      </c>
      <c r="G24" t="n">
        <v>43.5</v>
      </c>
      <c r="I24" t="n">
        <v>44</v>
      </c>
      <c r="K24" t="inlineStr">
        <is>
          <t>All ON</t>
        </is>
      </c>
    </row>
    <row r="25">
      <c r="B25" t="n">
        <v>14</v>
      </c>
      <c r="C25" t="n">
        <v>1</v>
      </c>
      <c r="G25" t="n">
        <v>40.3</v>
      </c>
      <c r="I25" t="n">
        <v>40.5</v>
      </c>
      <c r="K25" t="inlineStr">
        <is>
          <t>All ON</t>
        </is>
      </c>
      <c r="R25" s="1" t="n">
        <v>45975.375</v>
      </c>
    </row>
    <row r="26">
      <c r="B26" t="n">
        <v>15</v>
      </c>
      <c r="C26" t="n">
        <v>1</v>
      </c>
      <c r="G26" t="n">
        <v>33.7</v>
      </c>
      <c r="I26" t="n">
        <v>35.3</v>
      </c>
      <c r="K26" t="inlineStr">
        <is>
          <t>All ON</t>
        </is>
      </c>
    </row>
    <row r="27">
      <c r="B27" t="n">
        <v>16</v>
      </c>
      <c r="C27" t="n">
        <v>1</v>
      </c>
      <c r="G27" t="n">
        <v>40.4</v>
      </c>
      <c r="I27" t="n">
        <v>39.8</v>
      </c>
      <c r="K27" t="inlineStr">
        <is>
          <t>All ON</t>
        </is>
      </c>
    </row>
    <row r="28">
      <c r="B28" t="n">
        <v>17</v>
      </c>
      <c r="C28" t="n">
        <v>1</v>
      </c>
      <c r="D28" t="inlineStr">
        <is>
          <t>Heavy rain overnight, no issues</t>
        </is>
      </c>
      <c r="G28" t="n">
        <v>39.6</v>
      </c>
      <c r="I28" t="n">
        <v>40</v>
      </c>
      <c r="K28" t="inlineStr">
        <is>
          <t>All ON</t>
        </is>
      </c>
    </row>
    <row r="29">
      <c r="B29" t="n">
        <v>18</v>
      </c>
      <c r="C29" t="n">
        <v>1</v>
      </c>
      <c r="G29" t="n">
        <v>37.6</v>
      </c>
      <c r="I29" t="n">
        <v>37.5</v>
      </c>
      <c r="K29" t="inlineStr">
        <is>
          <t>All ON</t>
        </is>
      </c>
    </row>
    <row r="30">
      <c r="B30" t="n">
        <v>19</v>
      </c>
      <c r="C30" t="n">
        <v>1</v>
      </c>
      <c r="G30" t="n">
        <v>40</v>
      </c>
      <c r="I30" t="n">
        <v>40.8</v>
      </c>
      <c r="K30" t="inlineStr">
        <is>
          <t>All ON</t>
        </is>
      </c>
    </row>
    <row r="31">
      <c r="B31" t="n">
        <v>20</v>
      </c>
      <c r="C31" t="n">
        <v>1</v>
      </c>
      <c r="G31" t="n">
        <v>41</v>
      </c>
      <c r="I31" t="n">
        <v>41.3</v>
      </c>
      <c r="K31" t="inlineStr">
        <is>
          <t>All ON</t>
        </is>
      </c>
    </row>
    <row r="32">
      <c r="B32" t="n">
        <v>21</v>
      </c>
      <c r="C32" t="n">
        <v>1</v>
      </c>
      <c r="D32" t="inlineStr">
        <is>
          <t>False flow during filter swap - 0.4 deducted</t>
        </is>
      </c>
      <c r="F32" t="n">
        <v>0.4</v>
      </c>
      <c r="G32" t="n">
        <v>33.4</v>
      </c>
      <c r="I32" t="n">
        <v>32.9</v>
      </c>
      <c r="K32" t="inlineStr">
        <is>
          <t>All ON</t>
        </is>
      </c>
    </row>
    <row r="33">
      <c r="B33" t="n">
        <v>22</v>
      </c>
      <c r="C33" t="n">
        <v>1</v>
      </c>
      <c r="G33" t="n">
        <v>35.3</v>
      </c>
      <c r="I33" t="n">
        <v>36</v>
      </c>
      <c r="K33" t="inlineStr">
        <is>
          <t>All ON</t>
        </is>
      </c>
    </row>
    <row r="34">
      <c r="B34" t="n">
        <v>23</v>
      </c>
      <c r="C34" t="n">
        <v>1</v>
      </c>
      <c r="G34" t="n">
        <v>44.2</v>
      </c>
      <c r="I34" t="n">
        <v>45.6</v>
      </c>
      <c r="K34" t="inlineStr">
        <is>
          <t>All ON</t>
        </is>
      </c>
    </row>
    <row r="35">
      <c r="B35" t="n">
        <v>24</v>
      </c>
      <c r="C35" t="n">
        <v>1</v>
      </c>
      <c r="G35" t="n">
        <v>43.4</v>
      </c>
      <c r="I35" t="n">
        <v>44.8</v>
      </c>
      <c r="K35" t="inlineStr">
        <is>
          <t>All ON</t>
        </is>
      </c>
    </row>
    <row r="36">
      <c r="B36" t="n">
        <v>25</v>
      </c>
      <c r="C36" t="n">
        <v>1</v>
      </c>
      <c r="G36" t="n">
        <v>36.3</v>
      </c>
      <c r="I36" t="n">
        <v>37.8</v>
      </c>
      <c r="K36" t="inlineStr">
        <is>
          <t>All ON</t>
        </is>
      </c>
    </row>
    <row r="37">
      <c r="B37" t="n">
        <v>26</v>
      </c>
      <c r="C37" t="n">
        <v>1</v>
      </c>
      <c r="G37" t="n">
        <v>41.8</v>
      </c>
      <c r="I37" t="n">
        <v>40.9</v>
      </c>
      <c r="K37" t="inlineStr">
        <is>
          <t>All ON</t>
        </is>
      </c>
    </row>
    <row r="38">
      <c r="B38" t="n">
        <v>27</v>
      </c>
      <c r="C38" t="n">
        <v>1</v>
      </c>
      <c r="G38" t="n">
        <v>33.2</v>
      </c>
      <c r="I38" t="n">
        <v>32</v>
      </c>
      <c r="K38" t="inlineStr">
        <is>
          <t>All ON</t>
        </is>
      </c>
    </row>
    <row r="39">
      <c r="B39" t="n">
        <v>28</v>
      </c>
      <c r="C39" t="n">
        <v>1</v>
      </c>
      <c r="G39" t="n">
        <v>42.8</v>
      </c>
      <c r="I39" t="n">
        <v>42.4</v>
      </c>
      <c r="K39" t="inlineStr">
        <is>
          <t>All ON</t>
        </is>
      </c>
    </row>
    <row r="40">
      <c r="B40" t="n">
        <v>29</v>
      </c>
      <c r="C40" t="n">
        <v>1</v>
      </c>
      <c r="G40" t="n">
        <v>34.4</v>
      </c>
      <c r="I40" t="n">
        <v>35.2</v>
      </c>
      <c r="K40" t="inlineStr">
        <is>
          <t>All ON</t>
        </is>
      </c>
    </row>
    <row r="41">
      <c r="B41" t="n">
        <v>30</v>
      </c>
      <c r="C41" t="n">
        <v>1</v>
      </c>
      <c r="G41" t="n">
        <v>37.5</v>
      </c>
      <c r="I41" t="n">
        <v>36.5</v>
      </c>
      <c r="K41" t="inlineStr">
        <is>
          <t>All ON</t>
        </is>
      </c>
    </row>
    <row r="51">
      <c r="L51">
        <f>1659.9-1655.1+(0/30*5.3)</f>
        <v/>
      </c>
      <c r="N51" t="n">
        <v>5.1</v>
      </c>
    </row>
    <row r="53">
      <c r="O53" t="n">
        <v>1</v>
      </c>
      <c r="P53" t="n">
        <v>0.92</v>
      </c>
      <c r="Q53" t="n">
        <v>1.24</v>
      </c>
      <c r="R53" t="n">
        <v>1.05</v>
      </c>
    </row>
    <row r="54">
      <c r="O54" t="n">
        <v>3.2</v>
      </c>
    </row>
    <row r="57">
      <c r="G57" t="inlineStr">
        <is>
          <t>Hand balance (legacy)</t>
        </is>
      </c>
      <c r="L57" t="n">
        <v>1.9</v>
      </c>
      <c r="N57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X54"/>
  <sheetViews>
    <sheetView workbookViewId="0">
      <selection activeCell="A1" sqref="A1"/>
    </sheetView>
  </sheetViews>
  <sheetFormatPr baseColWidth="8" defaultRowHeight="15"/>
  <sheetData>
    <row r="2">
      <c r="D2" t="inlineStr">
        <is>
          <t>Snapshot</t>
        </is>
      </c>
      <c r="E2" t="n">
        <v>2.24</v>
      </c>
      <c r="F2" t="n">
        <v>3.37</v>
      </c>
      <c r="G2" t="n">
        <v>2.67</v>
      </c>
      <c r="H2" t="n">
        <v>0</v>
      </c>
      <c r="I2" t="n">
        <v>2.07</v>
      </c>
      <c r="L2" t="inlineStr">
        <is>
          <t>30 Nov @ 1145pm</t>
        </is>
      </c>
    </row>
    <row r="3">
      <c r="D3" t="inlineStr">
        <is>
          <t>Snapshot</t>
        </is>
      </c>
      <c r="E3" t="n">
        <v>1.3</v>
      </c>
      <c r="F3" t="n">
        <v>1.98</v>
      </c>
      <c r="G3" t="n">
        <v>1.61</v>
      </c>
      <c r="H3" t="n">
        <v>0</v>
      </c>
      <c r="I3" t="n">
        <v>1.55</v>
      </c>
      <c r="L3" t="inlineStr">
        <is>
          <t>31 Dec @ midnight</t>
        </is>
      </c>
    </row>
    <row r="6">
      <c r="A6" t="inlineStr">
        <is>
          <t>Month:</t>
        </is>
      </c>
      <c r="D6" t="inlineStr">
        <is>
          <t>December</t>
        </is>
      </c>
      <c r="E6" t="n">
        <v>2025</v>
      </c>
    </row>
    <row r="7">
      <c r="B7" t="inlineStr">
        <is>
          <t>Day</t>
        </is>
      </c>
      <c r="C7" t="inlineStr">
        <is>
          <t>Op</t>
        </is>
      </c>
      <c r="D7" t="inlineStr">
        <is>
          <t>Comments</t>
        </is>
      </c>
      <c r="F7" t="inlineStr">
        <is>
          <t>Error kL</t>
        </is>
      </c>
      <c r="G7" t="inlineStr">
        <is>
          <t>FIT0101 kL</t>
        </is>
      </c>
      <c r="I7" t="inlineStr">
        <is>
          <t>FIT0501 kL</t>
        </is>
      </c>
      <c r="K7" t="inlineStr">
        <is>
          <t>Bores</t>
        </is>
      </c>
      <c r="O7" t="inlineStr">
        <is>
          <t>AE pump grease</t>
        </is>
      </c>
      <c r="P7" t="inlineStr">
        <is>
          <t>Air compressor drain</t>
        </is>
      </c>
      <c r="Q7" t="inlineStr">
        <is>
          <t>Bag filter swap</t>
        </is>
      </c>
      <c r="R7" t="inlineStr">
        <is>
          <t>Dosing pump check</t>
        </is>
      </c>
      <c r="S7" t="inlineStr">
        <is>
          <t>pH probe calibration</t>
        </is>
      </c>
      <c r="T7" t="inlineStr">
        <is>
          <t>Flow meter verify</t>
        </is>
      </c>
      <c r="U7" t="inlineStr">
        <is>
          <t>Sight glass clean</t>
        </is>
      </c>
      <c r="V7" t="inlineStr">
        <is>
          <t>Cabinet filter</t>
        </is>
      </c>
      <c r="W7" t="inlineStr">
        <is>
          <t>Oil level check</t>
        </is>
      </c>
      <c r="X7" t="inlineStr">
        <is>
          <t>Alarm lamp test</t>
        </is>
      </c>
    </row>
    <row r="8">
      <c r="B8" t="n">
        <v>1</v>
      </c>
      <c r="C8" t="n">
        <v>1</v>
      </c>
      <c r="G8" t="n">
        <v>36.4</v>
      </c>
      <c r="I8" t="n">
        <v>36</v>
      </c>
      <c r="K8" t="inlineStr">
        <is>
          <t>All ON</t>
        </is>
      </c>
    </row>
    <row r="9">
      <c r="B9" t="n">
        <v>2</v>
      </c>
      <c r="C9" t="n">
        <v>1</v>
      </c>
      <c r="G9" t="n">
        <v>42.5</v>
      </c>
      <c r="I9" t="n">
        <v>44.4</v>
      </c>
      <c r="K9" t="inlineStr">
        <is>
          <t>All ON</t>
        </is>
      </c>
    </row>
    <row r="10">
      <c r="B10" t="n">
        <v>3</v>
      </c>
      <c r="C10" t="n">
        <v>1</v>
      </c>
      <c r="G10" t="n">
        <v>45.6</v>
      </c>
      <c r="I10" t="n">
        <v>45.8</v>
      </c>
      <c r="K10" t="inlineStr">
        <is>
          <t>All ON</t>
        </is>
      </c>
    </row>
    <row r="11">
      <c r="B11" t="n">
        <v>4</v>
      </c>
      <c r="C11" t="n">
        <v>1</v>
      </c>
      <c r="G11" t="n">
        <v>45.7</v>
      </c>
      <c r="I11" t="n">
        <v>45.2</v>
      </c>
      <c r="K11" t="inlineStr">
        <is>
          <t>All ON</t>
        </is>
      </c>
    </row>
    <row r="12">
      <c r="B12" t="n">
        <v>5</v>
      </c>
      <c r="C12" t="n">
        <v>1</v>
      </c>
      <c r="D12" t="inlineStr">
        <is>
          <t>Greased AE pump, all normal</t>
        </is>
      </c>
      <c r="G12" t="n">
        <v>38.2</v>
      </c>
      <c r="I12" t="n">
        <v>37.1</v>
      </c>
      <c r="K12" t="inlineStr">
        <is>
          <t>All ON</t>
        </is>
      </c>
    </row>
    <row r="13">
      <c r="B13" t="n">
        <v>6</v>
      </c>
      <c r="C13" t="n">
        <v>1</v>
      </c>
      <c r="G13" t="n">
        <v>45.5</v>
      </c>
      <c r="I13" t="n">
        <v>45.7</v>
      </c>
      <c r="K13" t="inlineStr">
        <is>
          <t>All ON</t>
        </is>
      </c>
    </row>
    <row r="14">
      <c r="B14" t="n">
        <v>7</v>
      </c>
      <c r="C14" t="n">
        <v>1</v>
      </c>
      <c r="G14" t="n">
        <v>39.6</v>
      </c>
      <c r="I14" t="n">
        <v>39.8</v>
      </c>
      <c r="K14" t="inlineStr">
        <is>
          <t>All ON</t>
        </is>
      </c>
    </row>
    <row r="15">
      <c r="B15" t="n">
        <v>8</v>
      </c>
      <c r="C15" t="n">
        <v>1</v>
      </c>
      <c r="G15" t="n">
        <v>43.8</v>
      </c>
      <c r="I15" t="n">
        <v>45.7</v>
      </c>
      <c r="K15" t="inlineStr">
        <is>
          <t>All ON</t>
        </is>
      </c>
    </row>
    <row r="16">
      <c r="B16" t="n">
        <v>9</v>
      </c>
      <c r="C16" t="n">
        <v>1</v>
      </c>
      <c r="G16" t="n">
        <v>41.2</v>
      </c>
      <c r="I16" t="n">
        <v>42.2</v>
      </c>
      <c r="K16" t="inlineStr">
        <is>
          <t>All ON</t>
        </is>
      </c>
    </row>
    <row r="17">
      <c r="B17" t="n">
        <v>10</v>
      </c>
      <c r="C17" t="n">
        <v>1</v>
      </c>
      <c r="G17" t="n">
        <v>38.9</v>
      </c>
      <c r="I17" t="n">
        <v>39.4</v>
      </c>
      <c r="K17" t="inlineStr">
        <is>
          <t>All ON</t>
        </is>
      </c>
    </row>
    <row r="18">
      <c r="B18" t="n">
        <v>11</v>
      </c>
      <c r="C18" t="n">
        <v>1</v>
      </c>
      <c r="G18" t="n">
        <v>33.4</v>
      </c>
      <c r="I18" t="n">
        <v>34.4</v>
      </c>
      <c r="K18" t="inlineStr">
        <is>
          <t>All ON</t>
        </is>
      </c>
    </row>
    <row r="19">
      <c r="B19" t="n">
        <v>12</v>
      </c>
      <c r="C19" t="n">
        <v>1</v>
      </c>
      <c r="G19" t="n">
        <v>43.4</v>
      </c>
      <c r="I19" t="n">
        <v>44.3</v>
      </c>
      <c r="K19" t="inlineStr">
        <is>
          <t>All ON</t>
        </is>
      </c>
    </row>
    <row r="20">
      <c r="B20" t="n">
        <v>13</v>
      </c>
      <c r="C20" t="n">
        <v>1</v>
      </c>
      <c r="G20" t="n">
        <v>38.5</v>
      </c>
      <c r="I20" t="n">
        <v>39.7</v>
      </c>
      <c r="K20" t="inlineStr">
        <is>
          <t>All ON</t>
        </is>
      </c>
      <c r="V20" s="1" t="n">
        <v>46004.375</v>
      </c>
    </row>
    <row r="21">
      <c r="B21" t="n">
        <v>14</v>
      </c>
      <c r="C21" t="n">
        <v>1</v>
      </c>
      <c r="G21" t="n">
        <v>34.6</v>
      </c>
      <c r="I21" t="n">
        <v>34.1</v>
      </c>
      <c r="K21" t="inlineStr">
        <is>
          <t>All ON</t>
        </is>
      </c>
    </row>
    <row r="22">
      <c r="B22" t="n">
        <v>15</v>
      </c>
      <c r="C22" t="n">
        <v>1</v>
      </c>
      <c r="G22" t="n">
        <v>33.6</v>
      </c>
      <c r="I22" t="n">
        <v>32.6</v>
      </c>
      <c r="K22" t="inlineStr">
        <is>
          <t>All ON</t>
        </is>
      </c>
    </row>
    <row r="23">
      <c r="B23" t="n">
        <v>16</v>
      </c>
      <c r="C23" t="n">
        <v>1</v>
      </c>
      <c r="G23" t="n">
        <v>34</v>
      </c>
      <c r="I23" t="n">
        <v>35.7</v>
      </c>
      <c r="K23" t="inlineStr">
        <is>
          <t>All ON</t>
        </is>
      </c>
    </row>
    <row r="24">
      <c r="B24" t="n">
        <v>17</v>
      </c>
      <c r="C24" t="n">
        <v>1</v>
      </c>
      <c r="G24" t="n">
        <v>36.9</v>
      </c>
      <c r="I24" t="n">
        <v>36.2</v>
      </c>
      <c r="K24" t="inlineStr">
        <is>
          <t>All ON</t>
        </is>
      </c>
    </row>
    <row r="25">
      <c r="B25" t="n">
        <v>18</v>
      </c>
      <c r="C25" t="n">
        <v>1</v>
      </c>
      <c r="G25" t="n">
        <v>40.3</v>
      </c>
      <c r="I25" t="n">
        <v>39.5</v>
      </c>
      <c r="K25" t="inlineStr">
        <is>
          <t>All ON</t>
        </is>
      </c>
    </row>
    <row r="26">
      <c r="B26" t="n">
        <v>19</v>
      </c>
      <c r="C26" t="n">
        <v>1</v>
      </c>
      <c r="D26" t="inlineStr">
        <is>
          <t>Sample run collected</t>
        </is>
      </c>
      <c r="G26" t="n">
        <v>40.3</v>
      </c>
      <c r="I26" t="n">
        <v>41.8</v>
      </c>
      <c r="K26" t="inlineStr">
        <is>
          <t>All ON</t>
        </is>
      </c>
      <c r="W26" s="1" t="n">
        <v>46010.375</v>
      </c>
    </row>
    <row r="27">
      <c r="B27" t="n">
        <v>20</v>
      </c>
      <c r="C27" t="n">
        <v>1</v>
      </c>
      <c r="G27" t="n">
        <v>40.7</v>
      </c>
      <c r="I27" t="n">
        <v>40.2</v>
      </c>
      <c r="K27" t="inlineStr">
        <is>
          <t>All ON</t>
        </is>
      </c>
    </row>
    <row r="28">
      <c r="B28" t="n">
        <v>21</v>
      </c>
      <c r="C28" t="n">
        <v>1</v>
      </c>
      <c r="G28" t="n">
        <v>44.7</v>
      </c>
      <c r="I28" t="n">
        <v>45</v>
      </c>
      <c r="K28" t="inlineStr">
        <is>
          <t>All ON</t>
        </is>
      </c>
    </row>
    <row r="29">
      <c r="B29" t="n">
        <v>22</v>
      </c>
      <c r="C29" t="n">
        <v>1</v>
      </c>
      <c r="G29" t="n">
        <v>43.8</v>
      </c>
      <c r="I29" t="n">
        <v>45.4</v>
      </c>
      <c r="K29" t="inlineStr">
        <is>
          <t>All ON</t>
        </is>
      </c>
    </row>
    <row r="30">
      <c r="B30" t="n">
        <v>23</v>
      </c>
      <c r="C30" t="n">
        <v>1</v>
      </c>
      <c r="G30" t="n">
        <v>43.1</v>
      </c>
      <c r="I30" t="n">
        <v>43.9</v>
      </c>
      <c r="K30" t="inlineStr">
        <is>
          <t>All ON</t>
        </is>
      </c>
    </row>
    <row r="31">
      <c r="B31" t="n">
        <v>24</v>
      </c>
      <c r="C31" t="n">
        <v>1</v>
      </c>
      <c r="G31" t="n">
        <v>33.5</v>
      </c>
      <c r="I31" t="n">
        <v>32.9</v>
      </c>
      <c r="K31" t="inlineStr">
        <is>
          <t>All ON</t>
        </is>
      </c>
    </row>
    <row r="32">
      <c r="B32" t="n">
        <v>25</v>
      </c>
      <c r="C32" t="n">
        <v>1</v>
      </c>
      <c r="G32" t="n">
        <v>34.3</v>
      </c>
      <c r="I32" t="n">
        <v>34.9</v>
      </c>
      <c r="K32" t="inlineStr">
        <is>
          <t>All ON</t>
        </is>
      </c>
    </row>
    <row r="33">
      <c r="B33" t="n">
        <v>26</v>
      </c>
      <c r="C33" t="n">
        <v>1</v>
      </c>
      <c r="D33" t="inlineStr">
        <is>
          <t>Heavy rain overnight, no issues</t>
        </is>
      </c>
      <c r="G33" t="n">
        <v>44.7</v>
      </c>
      <c r="I33" t="n">
        <v>45.4</v>
      </c>
      <c r="K33" t="inlineStr">
        <is>
          <t>All ON</t>
        </is>
      </c>
    </row>
    <row r="34">
      <c r="B34" t="n">
        <v>27</v>
      </c>
      <c r="C34" t="n">
        <v>1</v>
      </c>
      <c r="G34" t="n">
        <v>39.4</v>
      </c>
      <c r="I34" t="n">
        <v>41.2</v>
      </c>
      <c r="K34" t="inlineStr">
        <is>
          <t>All ON</t>
        </is>
      </c>
    </row>
    <row r="35">
      <c r="B35" t="n">
        <v>28</v>
      </c>
      <c r="C35" t="n">
        <v>1</v>
      </c>
      <c r="G35" t="n">
        <v>38.1</v>
      </c>
      <c r="I35" t="n">
        <v>38.5</v>
      </c>
      <c r="K35" t="inlineStr">
        <is>
          <t>All ON</t>
        </is>
      </c>
    </row>
    <row r="36">
      <c r="B36" t="n">
        <v>29</v>
      </c>
      <c r="C36" t="n">
        <v>1</v>
      </c>
      <c r="G36" t="n">
        <v>33.2</v>
      </c>
      <c r="I36" t="n">
        <v>34</v>
      </c>
      <c r="K36" t="inlineStr">
        <is>
          <t>All ON</t>
        </is>
      </c>
    </row>
    <row r="37">
      <c r="B37" t="n">
        <v>30</v>
      </c>
      <c r="C37" t="n">
        <v>1</v>
      </c>
      <c r="G37" t="n">
        <v>38.2</v>
      </c>
      <c r="I37" t="n">
        <v>37.9</v>
      </c>
      <c r="K37" t="inlineStr">
        <is>
          <t>All ON</t>
        </is>
      </c>
    </row>
    <row r="38">
      <c r="B38" t="n">
        <v>31</v>
      </c>
      <c r="C38" t="n">
        <v>1</v>
      </c>
      <c r="G38" t="n">
        <v>35</v>
      </c>
      <c r="I38" t="n">
        <v>36.5</v>
      </c>
      <c r="K38" t="inlineStr">
        <is>
          <t>All ON</t>
        </is>
      </c>
      <c r="W38" s="1" t="n">
        <v>46022.375</v>
      </c>
    </row>
    <row r="51">
      <c r="L51">
        <f>1665.3-1659.9+(0/30*5.3)</f>
        <v/>
      </c>
      <c r="N51" t="n">
        <v>5.1</v>
      </c>
    </row>
    <row r="53">
      <c r="O53" t="n">
        <v>1</v>
      </c>
      <c r="P53" t="n">
        <v>0.92</v>
      </c>
      <c r="Q53" t="n">
        <v>1.24</v>
      </c>
      <c r="R53" t="n">
        <v>1.05</v>
      </c>
    </row>
    <row r="54">
      <c r="O54" t="n">
        <v>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X54"/>
  <sheetViews>
    <sheetView workbookViewId="0">
      <selection activeCell="A1" sqref="A1"/>
    </sheetView>
  </sheetViews>
  <sheetFormatPr baseColWidth="8" defaultRowHeight="15"/>
  <sheetData>
    <row r="2">
      <c r="D2" t="inlineStr">
        <is>
          <t>Snapshot</t>
        </is>
      </c>
      <c r="E2" t="n">
        <v>1.3</v>
      </c>
      <c r="F2" t="n">
        <v>1.98</v>
      </c>
      <c r="G2" t="n">
        <v>1.61</v>
      </c>
      <c r="H2" t="n">
        <v>0</v>
      </c>
      <c r="I2" t="n">
        <v>1.55</v>
      </c>
      <c r="L2" t="inlineStr">
        <is>
          <t>31 Dec @ midnight</t>
        </is>
      </c>
    </row>
    <row r="3">
      <c r="D3" t="inlineStr">
        <is>
          <t>Snapshot</t>
        </is>
      </c>
      <c r="E3" t="n">
        <v>1.22</v>
      </c>
      <c r="F3" t="n">
        <v>1.99</v>
      </c>
      <c r="G3" t="n">
        <v>1.48</v>
      </c>
      <c r="H3" t="n">
        <v>0</v>
      </c>
      <c r="I3" t="n">
        <v>1.59</v>
      </c>
      <c r="L3" t="inlineStr">
        <is>
          <t>31 Jan @ 0800am</t>
        </is>
      </c>
    </row>
    <row r="6">
      <c r="A6" t="inlineStr">
        <is>
          <t>Month:</t>
        </is>
      </c>
      <c r="D6" t="inlineStr">
        <is>
          <t>January</t>
        </is>
      </c>
      <c r="E6" t="n">
        <v>2026</v>
      </c>
    </row>
    <row r="7">
      <c r="B7" t="inlineStr">
        <is>
          <t>Day</t>
        </is>
      </c>
      <c r="C7" t="inlineStr">
        <is>
          <t>Op</t>
        </is>
      </c>
      <c r="D7" t="inlineStr">
        <is>
          <t>Comments</t>
        </is>
      </c>
      <c r="F7" t="inlineStr">
        <is>
          <t>Error kL</t>
        </is>
      </c>
      <c r="G7" t="inlineStr">
        <is>
          <t>FIT0101 kL</t>
        </is>
      </c>
      <c r="I7" t="inlineStr">
        <is>
          <t>FIT0501 kL</t>
        </is>
      </c>
      <c r="K7" t="inlineStr">
        <is>
          <t>Bores</t>
        </is>
      </c>
      <c r="O7" t="inlineStr">
        <is>
          <t>AE pump grease</t>
        </is>
      </c>
      <c r="P7" t="inlineStr">
        <is>
          <t>Air compressor drain</t>
        </is>
      </c>
      <c r="Q7" t="inlineStr">
        <is>
          <t>Bag filter swap</t>
        </is>
      </c>
      <c r="R7" t="inlineStr">
        <is>
          <t>Dosing pump check</t>
        </is>
      </c>
      <c r="S7" t="inlineStr">
        <is>
          <t>pH probe calibration</t>
        </is>
      </c>
      <c r="T7" t="inlineStr">
        <is>
          <t>Flow meter verify</t>
        </is>
      </c>
      <c r="U7" t="inlineStr">
        <is>
          <t>Sight glass clean</t>
        </is>
      </c>
      <c r="V7" t="inlineStr">
        <is>
          <t>Cabinet filter</t>
        </is>
      </c>
      <c r="W7" t="inlineStr">
        <is>
          <t>Oil level check</t>
        </is>
      </c>
      <c r="X7" t="inlineStr">
        <is>
          <t>Alarm lamp test</t>
        </is>
      </c>
    </row>
    <row r="13">
      <c r="B13" t="n">
        <v>1</v>
      </c>
      <c r="C13" t="n">
        <v>1</v>
      </c>
      <c r="G13" t="n">
        <v>36.1</v>
      </c>
      <c r="I13" t="n">
        <v>37.2</v>
      </c>
      <c r="K13" t="inlineStr">
        <is>
          <t>All ON</t>
        </is>
      </c>
    </row>
    <row r="14">
      <c r="B14" t="n">
        <v>2</v>
      </c>
      <c r="C14" t="n">
        <v>1</v>
      </c>
      <c r="G14" t="n">
        <v>34.1</v>
      </c>
      <c r="I14" t="n">
        <v>33.4</v>
      </c>
      <c r="K14" t="inlineStr">
        <is>
          <t>All ON</t>
        </is>
      </c>
    </row>
    <row r="15">
      <c r="B15" t="n">
        <v>3</v>
      </c>
      <c r="C15" t="n">
        <v>1</v>
      </c>
      <c r="G15" t="n">
        <v>44.8</v>
      </c>
      <c r="I15" t="n">
        <v>44.3</v>
      </c>
      <c r="K15" t="inlineStr">
        <is>
          <t>All ON</t>
        </is>
      </c>
    </row>
    <row r="16">
      <c r="B16" t="n">
        <v>4</v>
      </c>
      <c r="C16" t="n">
        <v>1</v>
      </c>
      <c r="G16" t="n">
        <v>42.9</v>
      </c>
      <c r="I16" t="n">
        <v>43.6</v>
      </c>
      <c r="K16" t="inlineStr">
        <is>
          <t>All ON</t>
        </is>
      </c>
      <c r="P16" s="1" t="n">
        <v>46026.375</v>
      </c>
    </row>
    <row r="17">
      <c r="B17" t="n">
        <v>5</v>
      </c>
      <c r="C17" t="n">
        <v>1</v>
      </c>
      <c r="G17" t="n">
        <v>43.9</v>
      </c>
      <c r="I17" t="n">
        <v>43.9</v>
      </c>
      <c r="K17" t="inlineStr">
        <is>
          <t>All ON</t>
        </is>
      </c>
    </row>
    <row r="18">
      <c r="B18" t="n">
        <v>6</v>
      </c>
      <c r="C18" t="n">
        <v>1</v>
      </c>
      <c r="G18" t="n">
        <v>37.4</v>
      </c>
      <c r="I18" t="n">
        <v>37.1</v>
      </c>
      <c r="K18" t="inlineStr">
        <is>
          <t>All ON</t>
        </is>
      </c>
    </row>
    <row r="19">
      <c r="B19" t="n">
        <v>7</v>
      </c>
      <c r="C19" t="n">
        <v>1</v>
      </c>
      <c r="G19" t="n">
        <v>44.3</v>
      </c>
      <c r="I19" t="n">
        <v>45</v>
      </c>
      <c r="K19" t="inlineStr">
        <is>
          <t>All ON</t>
        </is>
      </c>
    </row>
    <row r="20">
      <c r="B20" t="n">
        <v>8</v>
      </c>
      <c r="C20" t="n">
        <v>1</v>
      </c>
      <c r="G20" t="n">
        <v>45.4</v>
      </c>
      <c r="I20" t="n">
        <v>47</v>
      </c>
      <c r="K20" t="inlineStr">
        <is>
          <t>All ON</t>
        </is>
      </c>
    </row>
    <row r="21">
      <c r="B21" t="n">
        <v>9</v>
      </c>
      <c r="C21" t="n">
        <v>1</v>
      </c>
      <c r="G21" t="n">
        <v>34.8</v>
      </c>
      <c r="I21" t="n">
        <v>35.4</v>
      </c>
      <c r="K21" t="inlineStr">
        <is>
          <t>All ON</t>
        </is>
      </c>
    </row>
    <row r="22">
      <c r="B22" t="n">
        <v>10</v>
      </c>
      <c r="C22" t="n">
        <v>1</v>
      </c>
      <c r="G22" t="n">
        <v>34.4</v>
      </c>
      <c r="I22" t="n">
        <v>33.3</v>
      </c>
      <c r="K22" t="inlineStr">
        <is>
          <t>All ON</t>
        </is>
      </c>
    </row>
    <row r="23">
      <c r="B23" t="n">
        <v>11</v>
      </c>
      <c r="C23" t="n">
        <v>1</v>
      </c>
      <c r="G23" t="n">
        <v>34</v>
      </c>
      <c r="I23" t="n">
        <v>35.6</v>
      </c>
      <c r="K23" t="inlineStr">
        <is>
          <t>All ON</t>
        </is>
      </c>
    </row>
    <row r="24">
      <c r="B24" t="n">
        <v>12</v>
      </c>
      <c r="C24" t="n">
        <v>1</v>
      </c>
      <c r="G24" t="n">
        <v>29.1</v>
      </c>
      <c r="I24" t="n">
        <v>28.6</v>
      </c>
      <c r="K24" t="inlineStr">
        <is>
          <t>1 off - EW04 (screen clean)</t>
        </is>
      </c>
    </row>
    <row r="25">
      <c r="B25" t="n">
        <v>13</v>
      </c>
      <c r="C25" t="n">
        <v>1</v>
      </c>
      <c r="G25" t="n">
        <v>31.5</v>
      </c>
      <c r="I25" t="n">
        <v>31.4</v>
      </c>
      <c r="K25" t="inlineStr">
        <is>
          <t>1 off - EW04 (screen clean)</t>
        </is>
      </c>
      <c r="S25" s="1" t="n">
        <v>46035.375</v>
      </c>
    </row>
    <row r="26">
      <c r="B26" t="n">
        <v>14</v>
      </c>
      <c r="C26" t="n">
        <v>1</v>
      </c>
      <c r="G26" t="n">
        <v>30.5</v>
      </c>
      <c r="I26" t="n">
        <v>30.7</v>
      </c>
      <c r="K26" t="inlineStr">
        <is>
          <t>1 off - EW04 (screen clean)</t>
        </is>
      </c>
    </row>
    <row r="27">
      <c r="B27" t="n">
        <v>15</v>
      </c>
      <c r="C27" t="n">
        <v>1</v>
      </c>
      <c r="D27" t="inlineStr">
        <is>
          <t>Low day - EW04 still isolated</t>
        </is>
      </c>
      <c r="G27" t="n">
        <v>26.4</v>
      </c>
      <c r="I27" t="n">
        <v>27.1</v>
      </c>
      <c r="K27" t="inlineStr">
        <is>
          <t>1 off - EW04 (screen clean)</t>
        </is>
      </c>
    </row>
    <row r="28">
      <c r="B28" t="n">
        <v>16</v>
      </c>
      <c r="C28" t="n">
        <v>1</v>
      </c>
      <c r="G28" t="n">
        <v>31.3</v>
      </c>
      <c r="I28" t="n">
        <v>32.3</v>
      </c>
      <c r="K28" t="inlineStr">
        <is>
          <t>1 off - EW04 (screen clean)</t>
        </is>
      </c>
    </row>
    <row r="29">
      <c r="B29" t="n">
        <v>17</v>
      </c>
      <c r="C29" t="n">
        <v>1</v>
      </c>
      <c r="G29" t="n">
        <v>31.4</v>
      </c>
      <c r="I29" t="n">
        <v>31.1</v>
      </c>
      <c r="K29" t="inlineStr">
        <is>
          <t>1 off - EW04 (screen clean)</t>
        </is>
      </c>
    </row>
    <row r="30">
      <c r="B30" t="n">
        <v>18</v>
      </c>
      <c r="C30" t="n">
        <v>1</v>
      </c>
      <c r="G30" t="n">
        <v>29.5</v>
      </c>
      <c r="I30" t="n">
        <v>29.9</v>
      </c>
      <c r="K30" t="inlineStr">
        <is>
          <t>1 off - EW04 (screen clean)</t>
        </is>
      </c>
    </row>
    <row r="31">
      <c r="B31" t="n">
        <v>19</v>
      </c>
      <c r="C31" t="n">
        <v>1</v>
      </c>
      <c r="D31" t="inlineStr">
        <is>
          <t>Heavy rain overnight, no issues</t>
        </is>
      </c>
      <c r="G31" t="n">
        <v>36.6</v>
      </c>
      <c r="I31" t="n">
        <v>37.9</v>
      </c>
      <c r="K31" t="inlineStr">
        <is>
          <t>All ON</t>
        </is>
      </c>
    </row>
    <row r="32">
      <c r="B32" t="n">
        <v>20</v>
      </c>
      <c r="C32" t="n">
        <v>1</v>
      </c>
      <c r="G32" t="n">
        <v>43.8</v>
      </c>
      <c r="I32" t="n">
        <v>42.6</v>
      </c>
      <c r="K32" t="inlineStr">
        <is>
          <t>All ON</t>
        </is>
      </c>
    </row>
    <row r="33">
      <c r="B33" t="n">
        <v>21</v>
      </c>
      <c r="C33" t="n">
        <v>1</v>
      </c>
      <c r="G33" t="n">
        <v>41.7</v>
      </c>
      <c r="I33" t="n">
        <v>40.8</v>
      </c>
      <c r="K33" t="inlineStr">
        <is>
          <t>All ON</t>
        </is>
      </c>
    </row>
    <row r="34">
      <c r="B34" t="n">
        <v>22</v>
      </c>
      <c r="C34" t="n">
        <v>1</v>
      </c>
      <c r="G34" t="n">
        <v>34.5</v>
      </c>
      <c r="I34" t="n">
        <v>36.1</v>
      </c>
      <c r="K34" t="inlineStr">
        <is>
          <t>All ON</t>
        </is>
      </c>
    </row>
    <row r="35">
      <c r="B35" t="n">
        <v>23</v>
      </c>
      <c r="C35" t="n">
        <v>1</v>
      </c>
      <c r="G35" t="n">
        <v>33.5</v>
      </c>
      <c r="I35" t="n">
        <v>33.1</v>
      </c>
      <c r="K35" t="inlineStr">
        <is>
          <t>All ON</t>
        </is>
      </c>
    </row>
    <row r="36">
      <c r="B36" t="n">
        <v>24</v>
      </c>
      <c r="C36" t="n">
        <v>1</v>
      </c>
      <c r="G36" t="n">
        <v>45.8</v>
      </c>
      <c r="I36" t="n">
        <v>45.9</v>
      </c>
      <c r="K36" t="inlineStr">
        <is>
          <t>All ON</t>
        </is>
      </c>
    </row>
    <row r="37">
      <c r="B37" t="n">
        <v>25</v>
      </c>
      <c r="C37" t="n">
        <v>1</v>
      </c>
      <c r="G37" t="n">
        <v>34.5</v>
      </c>
      <c r="I37" t="n">
        <v>33.8</v>
      </c>
      <c r="K37" t="inlineStr">
        <is>
          <t>All ON</t>
        </is>
      </c>
    </row>
    <row r="38">
      <c r="B38" t="n">
        <v>26</v>
      </c>
      <c r="C38" t="n">
        <v>1</v>
      </c>
      <c r="G38" t="n">
        <v>36.1</v>
      </c>
      <c r="I38" t="n">
        <v>37.3</v>
      </c>
      <c r="K38" t="inlineStr">
        <is>
          <t>All ON</t>
        </is>
      </c>
    </row>
    <row r="39">
      <c r="B39" t="n">
        <v>27</v>
      </c>
      <c r="C39" t="n">
        <v>1</v>
      </c>
      <c r="G39" t="n">
        <v>34.3</v>
      </c>
      <c r="I39" t="n">
        <v>36</v>
      </c>
      <c r="K39" t="inlineStr">
        <is>
          <t>All ON</t>
        </is>
      </c>
    </row>
    <row r="40">
      <c r="B40" t="n">
        <v>28</v>
      </c>
      <c r="C40" t="n">
        <v>1</v>
      </c>
      <c r="G40" t="n">
        <v>37.9</v>
      </c>
      <c r="I40" t="n">
        <v>39.8</v>
      </c>
      <c r="K40" t="inlineStr">
        <is>
          <t>All ON</t>
        </is>
      </c>
      <c r="V40" s="1" t="n">
        <v>46050.375</v>
      </c>
    </row>
    <row r="41">
      <c r="B41" t="n">
        <v>29</v>
      </c>
      <c r="C41" t="n">
        <v>1</v>
      </c>
      <c r="D41" t="inlineStr">
        <is>
          <t>Heavy rain overnight, no issues</t>
        </is>
      </c>
      <c r="G41" t="n">
        <v>44.8</v>
      </c>
      <c r="I41" t="n">
        <v>44.5</v>
      </c>
      <c r="K41" t="inlineStr">
        <is>
          <t>All ON</t>
        </is>
      </c>
    </row>
    <row r="42">
      <c r="B42" t="n">
        <v>30</v>
      </c>
      <c r="C42" t="n">
        <v>1</v>
      </c>
      <c r="D42" t="inlineStr">
        <is>
          <t>Sample run collected</t>
        </is>
      </c>
      <c r="G42" t="n">
        <v>36.3</v>
      </c>
      <c r="I42" t="n">
        <v>36.6</v>
      </c>
      <c r="K42" t="inlineStr">
        <is>
          <t>All ON</t>
        </is>
      </c>
    </row>
    <row r="43">
      <c r="B43" t="n">
        <v>31</v>
      </c>
      <c r="C43" t="n">
        <v>1</v>
      </c>
      <c r="G43" t="n">
        <v>34.3</v>
      </c>
      <c r="I43" t="n">
        <v>35.2</v>
      </c>
      <c r="K43" t="inlineStr">
        <is>
          <t>All ON</t>
        </is>
      </c>
    </row>
    <row r="51">
      <c r="L51">
        <f>1670.3-1665.3+(0/30*5.3)</f>
        <v/>
      </c>
      <c r="N51" t="n">
        <v>5.1</v>
      </c>
    </row>
    <row r="53">
      <c r="O53" t="n">
        <v>1</v>
      </c>
      <c r="P53" t="n">
        <v>0.92</v>
      </c>
      <c r="Q53" t="n">
        <v>1.24</v>
      </c>
      <c r="R53" t="n">
        <v>1.05</v>
      </c>
    </row>
    <row r="54">
      <c r="O54" t="n">
        <v>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X54"/>
  <sheetViews>
    <sheetView workbookViewId="0">
      <selection activeCell="A1" sqref="A1"/>
    </sheetView>
  </sheetViews>
  <sheetFormatPr baseColWidth="8" defaultRowHeight="15"/>
  <sheetData>
    <row r="2">
      <c r="D2" t="inlineStr">
        <is>
          <t>Snapshot</t>
        </is>
      </c>
      <c r="E2" t="n">
        <v>1.22</v>
      </c>
      <c r="F2" t="n">
        <v>1.99</v>
      </c>
      <c r="G2" t="n">
        <v>1.48</v>
      </c>
      <c r="H2" t="n">
        <v>0</v>
      </c>
      <c r="I2" t="n">
        <v>1.59</v>
      </c>
      <c r="L2" t="inlineStr">
        <is>
          <t>31 Jan @ 0800am</t>
        </is>
      </c>
    </row>
    <row r="3">
      <c r="D3" t="inlineStr">
        <is>
          <t>Snapshot</t>
        </is>
      </c>
      <c r="E3" t="n">
        <v>1.22</v>
      </c>
      <c r="F3" t="n">
        <v>1.99</v>
      </c>
      <c r="G3" t="n">
        <v>1.48</v>
      </c>
      <c r="H3" t="n">
        <v>0</v>
      </c>
      <c r="I3" t="n">
        <v>1.59</v>
      </c>
      <c r="L3" t="inlineStr">
        <is>
          <t>28 Feb @ midnight</t>
        </is>
      </c>
    </row>
    <row r="6">
      <c r="A6" t="inlineStr">
        <is>
          <t>Month:</t>
        </is>
      </c>
      <c r="D6" t="inlineStr">
        <is>
          <t>February</t>
        </is>
      </c>
      <c r="E6" t="n">
        <v>2026</v>
      </c>
    </row>
    <row r="7">
      <c r="B7" t="inlineStr">
        <is>
          <t>Day</t>
        </is>
      </c>
      <c r="C7" t="inlineStr">
        <is>
          <t>Op</t>
        </is>
      </c>
      <c r="D7" t="inlineStr">
        <is>
          <t>Comments</t>
        </is>
      </c>
      <c r="F7" t="inlineStr">
        <is>
          <t>Error kL</t>
        </is>
      </c>
      <c r="G7" t="inlineStr">
        <is>
          <t>FIT0101 kL</t>
        </is>
      </c>
      <c r="I7" t="inlineStr">
        <is>
          <t>FIT0501 kL</t>
        </is>
      </c>
      <c r="K7" t="inlineStr">
        <is>
          <t>Bores</t>
        </is>
      </c>
      <c r="O7" t="inlineStr">
        <is>
          <t>AE pump grease</t>
        </is>
      </c>
      <c r="P7" t="inlineStr">
        <is>
          <t>Air compressor drain</t>
        </is>
      </c>
      <c r="Q7" t="inlineStr">
        <is>
          <t>Bag filter swap</t>
        </is>
      </c>
      <c r="R7" t="inlineStr">
        <is>
          <t>Dosing pump check</t>
        </is>
      </c>
      <c r="S7" t="inlineStr">
        <is>
          <t>pH probe calibration</t>
        </is>
      </c>
      <c r="T7" t="inlineStr">
        <is>
          <t>Flow meter verify</t>
        </is>
      </c>
      <c r="U7" t="inlineStr">
        <is>
          <t>Sight glass clean</t>
        </is>
      </c>
      <c r="V7" t="inlineStr">
        <is>
          <t>Cabinet filter</t>
        </is>
      </c>
      <c r="W7" t="inlineStr">
        <is>
          <t>Oil level check</t>
        </is>
      </c>
      <c r="X7" t="inlineStr">
        <is>
          <t>Alarm lamp test</t>
        </is>
      </c>
    </row>
    <row r="10">
      <c r="B10" t="n">
        <v>1</v>
      </c>
      <c r="C10" t="n">
        <v>0</v>
      </c>
      <c r="D10" t="inlineStr">
        <is>
          <t>Plant OFFLINE - discharge line repair</t>
        </is>
      </c>
      <c r="G10" t="n">
        <v>0</v>
      </c>
      <c r="I10" t="n">
        <v>0</v>
      </c>
      <c r="K10" t="inlineStr">
        <is>
          <t>All OFF</t>
        </is>
      </c>
    </row>
    <row r="11">
      <c r="B11" t="n">
        <v>2</v>
      </c>
      <c r="C11" t="n">
        <v>0</v>
      </c>
      <c r="G11" t="n">
        <v>0</v>
      </c>
      <c r="I11" t="n">
        <v>0</v>
      </c>
      <c r="K11" t="inlineStr">
        <is>
          <t>All OFF</t>
        </is>
      </c>
    </row>
    <row r="12">
      <c r="B12" t="n">
        <v>3</v>
      </c>
      <c r="C12" t="n">
        <v>0</v>
      </c>
      <c r="G12" t="n">
        <v>0</v>
      </c>
      <c r="I12" t="n">
        <v>0</v>
      </c>
      <c r="K12" t="inlineStr">
        <is>
          <t>All OFF</t>
        </is>
      </c>
    </row>
    <row r="13">
      <c r="B13" t="n">
        <v>4</v>
      </c>
      <c r="C13" t="n">
        <v>0</v>
      </c>
      <c r="G13" t="n">
        <v>0</v>
      </c>
      <c r="I13" t="n">
        <v>0</v>
      </c>
      <c r="K13" t="inlineStr">
        <is>
          <t>All OFF</t>
        </is>
      </c>
    </row>
    <row r="14">
      <c r="B14" t="n">
        <v>5</v>
      </c>
      <c r="C14" t="n">
        <v>0</v>
      </c>
      <c r="G14" t="n">
        <v>0</v>
      </c>
      <c r="I14" t="n">
        <v>0</v>
      </c>
      <c r="K14" t="inlineStr">
        <is>
          <t>All OFF</t>
        </is>
      </c>
    </row>
    <row r="15">
      <c r="B15" t="n">
        <v>6</v>
      </c>
      <c r="C15" t="n">
        <v>0</v>
      </c>
      <c r="G15" t="n">
        <v>0</v>
      </c>
      <c r="I15" t="n">
        <v>0</v>
      </c>
      <c r="K15" t="inlineStr">
        <is>
          <t>All OFF</t>
        </is>
      </c>
    </row>
    <row r="16">
      <c r="B16" t="n">
        <v>7</v>
      </c>
      <c r="C16" t="n">
        <v>0</v>
      </c>
      <c r="G16" t="n">
        <v>0</v>
      </c>
      <c r="I16" t="n">
        <v>0</v>
      </c>
      <c r="K16" t="inlineStr">
        <is>
          <t>All OFF</t>
        </is>
      </c>
    </row>
    <row r="17">
      <c r="B17" t="n">
        <v>8</v>
      </c>
      <c r="C17" t="n">
        <v>0</v>
      </c>
      <c r="G17" t="n">
        <v>0</v>
      </c>
      <c r="I17" t="n">
        <v>0</v>
      </c>
      <c r="K17" t="inlineStr">
        <is>
          <t>All OFF</t>
        </is>
      </c>
    </row>
    <row r="18">
      <c r="B18" t="n">
        <v>9</v>
      </c>
      <c r="C18" t="n">
        <v>0</v>
      </c>
      <c r="G18" t="n">
        <v>0</v>
      </c>
      <c r="I18" t="n">
        <v>0</v>
      </c>
      <c r="K18" t="inlineStr">
        <is>
          <t>All OFF</t>
        </is>
      </c>
    </row>
    <row r="19">
      <c r="B19" t="n">
        <v>10</v>
      </c>
      <c r="C19" t="n">
        <v>0</v>
      </c>
      <c r="G19" t="n">
        <v>0</v>
      </c>
      <c r="I19" t="n">
        <v>0</v>
      </c>
      <c r="K19" t="inlineStr">
        <is>
          <t>All OFF</t>
        </is>
      </c>
      <c r="O19" t="inlineStr">
        <is>
          <t>OFFLINE</t>
        </is>
      </c>
    </row>
    <row r="20">
      <c r="B20" t="n">
        <v>11</v>
      </c>
      <c r="C20" t="n">
        <v>0</v>
      </c>
      <c r="G20" t="n">
        <v>0</v>
      </c>
      <c r="I20" t="n">
        <v>0</v>
      </c>
      <c r="K20" t="inlineStr">
        <is>
          <t>All OFF</t>
        </is>
      </c>
    </row>
    <row r="21">
      <c r="B21" t="n">
        <v>12</v>
      </c>
      <c r="C21" t="n">
        <v>0</v>
      </c>
      <c r="G21" t="n">
        <v>0</v>
      </c>
      <c r="I21" t="n">
        <v>0</v>
      </c>
      <c r="K21" t="inlineStr">
        <is>
          <t>All OFF</t>
        </is>
      </c>
    </row>
    <row r="22">
      <c r="B22" t="n">
        <v>13</v>
      </c>
      <c r="C22" t="n">
        <v>0</v>
      </c>
      <c r="G22" t="n">
        <v>0</v>
      </c>
      <c r="I22" t="n">
        <v>0</v>
      </c>
      <c r="K22" t="inlineStr">
        <is>
          <t>All OFF</t>
        </is>
      </c>
    </row>
    <row r="23">
      <c r="B23" t="n">
        <v>14</v>
      </c>
      <c r="C23" t="n">
        <v>0</v>
      </c>
      <c r="G23" t="n">
        <v>0</v>
      </c>
      <c r="I23" t="n">
        <v>0</v>
      </c>
      <c r="K23" t="inlineStr">
        <is>
          <t>All OFF</t>
        </is>
      </c>
    </row>
    <row r="24">
      <c r="B24" t="n">
        <v>15</v>
      </c>
      <c r="C24" t="n">
        <v>0</v>
      </c>
      <c r="G24" t="n">
        <v>0</v>
      </c>
      <c r="I24" t="n">
        <v>0</v>
      </c>
      <c r="K24" t="inlineStr">
        <is>
          <t>All OFF</t>
        </is>
      </c>
    </row>
    <row r="25">
      <c r="B25" t="n">
        <v>16</v>
      </c>
      <c r="C25" t="n">
        <v>0</v>
      </c>
      <c r="G25" t="n">
        <v>0</v>
      </c>
      <c r="I25" t="n">
        <v>0</v>
      </c>
      <c r="K25" t="inlineStr">
        <is>
          <t>All OFF</t>
        </is>
      </c>
    </row>
    <row r="26">
      <c r="B26" t="n">
        <v>17</v>
      </c>
      <c r="C26" t="n">
        <v>0</v>
      </c>
      <c r="G26" t="n">
        <v>0</v>
      </c>
      <c r="I26" t="n">
        <v>0</v>
      </c>
      <c r="K26" t="inlineStr">
        <is>
          <t>All OFF</t>
        </is>
      </c>
    </row>
    <row r="27">
      <c r="B27" t="n">
        <v>18</v>
      </c>
      <c r="C27" t="n">
        <v>0</v>
      </c>
      <c r="G27" t="n">
        <v>0</v>
      </c>
      <c r="I27" t="n">
        <v>0</v>
      </c>
      <c r="K27" t="inlineStr">
        <is>
          <t>All OFF</t>
        </is>
      </c>
    </row>
    <row r="28">
      <c r="B28" t="n">
        <v>19</v>
      </c>
      <c r="C28" t="n">
        <v>0</v>
      </c>
      <c r="G28" t="n">
        <v>0</v>
      </c>
      <c r="I28" t="n">
        <v>0</v>
      </c>
      <c r="K28" t="inlineStr">
        <is>
          <t>All OFF</t>
        </is>
      </c>
    </row>
    <row r="29">
      <c r="B29" t="n">
        <v>20</v>
      </c>
      <c r="C29" t="n">
        <v>0</v>
      </c>
      <c r="G29" t="n">
        <v>0</v>
      </c>
      <c r="I29" t="n">
        <v>0</v>
      </c>
      <c r="K29" t="inlineStr">
        <is>
          <t>All OFF</t>
        </is>
      </c>
    </row>
    <row r="30">
      <c r="B30" t="n">
        <v>21</v>
      </c>
      <c r="C30" t="n">
        <v>0</v>
      </c>
      <c r="G30" t="n">
        <v>0</v>
      </c>
      <c r="I30" t="n">
        <v>0</v>
      </c>
      <c r="K30" t="inlineStr">
        <is>
          <t>All OFF</t>
        </is>
      </c>
    </row>
    <row r="31">
      <c r="B31" t="n">
        <v>22</v>
      </c>
      <c r="C31" t="n">
        <v>0</v>
      </c>
      <c r="G31" t="n">
        <v>0</v>
      </c>
      <c r="I31" t="n">
        <v>0</v>
      </c>
      <c r="K31" t="inlineStr">
        <is>
          <t>All OFF</t>
        </is>
      </c>
    </row>
    <row r="32">
      <c r="B32" t="n">
        <v>23</v>
      </c>
      <c r="C32" t="n">
        <v>0</v>
      </c>
      <c r="G32" t="n">
        <v>0</v>
      </c>
      <c r="I32" t="n">
        <v>0</v>
      </c>
      <c r="K32" t="inlineStr">
        <is>
          <t>All OFF</t>
        </is>
      </c>
    </row>
    <row r="33">
      <c r="B33" t="n">
        <v>24</v>
      </c>
      <c r="C33" t="n">
        <v>0</v>
      </c>
      <c r="G33" t="n">
        <v>0</v>
      </c>
      <c r="I33" t="n">
        <v>0</v>
      </c>
      <c r="K33" t="inlineStr">
        <is>
          <t>All OFF</t>
        </is>
      </c>
    </row>
    <row r="34">
      <c r="B34" t="n">
        <v>25</v>
      </c>
      <c r="C34" t="n">
        <v>0</v>
      </c>
      <c r="G34" t="n">
        <v>0</v>
      </c>
      <c r="I34" t="n">
        <v>0</v>
      </c>
      <c r="K34" t="inlineStr">
        <is>
          <t>All OFF</t>
        </is>
      </c>
    </row>
    <row r="35">
      <c r="B35" t="n">
        <v>26</v>
      </c>
      <c r="C35" t="n">
        <v>0</v>
      </c>
      <c r="G35" t="n">
        <v>0</v>
      </c>
      <c r="I35" t="n">
        <v>0</v>
      </c>
      <c r="K35" t="inlineStr">
        <is>
          <t>All OFF</t>
        </is>
      </c>
    </row>
    <row r="36">
      <c r="B36" t="n">
        <v>27</v>
      </c>
      <c r="C36" t="n">
        <v>0</v>
      </c>
      <c r="G36" t="n">
        <v>0</v>
      </c>
      <c r="I36" t="n">
        <v>0</v>
      </c>
      <c r="K36" t="inlineStr">
        <is>
          <t>All OFF</t>
        </is>
      </c>
    </row>
    <row r="37">
      <c r="B37" t="n">
        <v>28</v>
      </c>
      <c r="C37" t="n">
        <v>0</v>
      </c>
      <c r="D37" t="inlineStr">
        <is>
          <t>Recommissioning checks pm</t>
        </is>
      </c>
      <c r="G37" t="n">
        <v>0</v>
      </c>
      <c r="I37" t="n">
        <v>0</v>
      </c>
      <c r="K37" t="inlineStr">
        <is>
          <t>All OFF</t>
        </is>
      </c>
    </row>
    <row r="51">
      <c r="L51">
        <f>1670.3-1670.3+(0/30*5.3)</f>
        <v/>
      </c>
      <c r="N51" t="n">
        <v>5.1</v>
      </c>
    </row>
    <row r="53">
      <c r="O53" t="n">
        <v>1</v>
      </c>
      <c r="P53" t="n">
        <v>0.92</v>
      </c>
      <c r="Q53" t="n">
        <v>1.24</v>
      </c>
      <c r="R53" t="n">
        <v>1.05</v>
      </c>
    </row>
    <row r="54">
      <c r="O54" t="n">
        <v>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X54"/>
  <sheetViews>
    <sheetView workbookViewId="0">
      <selection activeCell="A1" sqref="A1"/>
    </sheetView>
  </sheetViews>
  <sheetFormatPr baseColWidth="8" defaultRowHeight="15"/>
  <sheetData>
    <row r="2">
      <c r="D2" t="inlineStr">
        <is>
          <t>Snapshot</t>
        </is>
      </c>
      <c r="E2" t="n">
        <v>1.22</v>
      </c>
      <c r="F2" t="n">
        <v>1.99</v>
      </c>
      <c r="G2" t="n">
        <v>1.48</v>
      </c>
      <c r="H2" t="n">
        <v>0</v>
      </c>
      <c r="I2" t="n">
        <v>1.59</v>
      </c>
      <c r="L2" t="inlineStr">
        <is>
          <t>28 Feb @ midnight</t>
        </is>
      </c>
    </row>
    <row r="3">
      <c r="D3" t="inlineStr">
        <is>
          <t>Snapshot</t>
        </is>
      </c>
      <c r="E3" t="n">
        <v>1.31</v>
      </c>
      <c r="F3" t="n">
        <v>1.67</v>
      </c>
      <c r="G3" t="n">
        <v>1.38</v>
      </c>
      <c r="H3" t="n">
        <v>0</v>
      </c>
      <c r="I3" t="n">
        <v>0.96</v>
      </c>
      <c r="L3" t="inlineStr">
        <is>
          <t>31 Mar @ midnght</t>
        </is>
      </c>
    </row>
    <row r="6">
      <c r="A6" t="inlineStr">
        <is>
          <t>Month:</t>
        </is>
      </c>
      <c r="D6" t="inlineStr">
        <is>
          <t>March</t>
        </is>
      </c>
      <c r="E6" t="n">
        <v>2026</v>
      </c>
    </row>
    <row r="7">
      <c r="B7" t="inlineStr">
        <is>
          <t>Day</t>
        </is>
      </c>
      <c r="C7" t="inlineStr">
        <is>
          <t>Op</t>
        </is>
      </c>
      <c r="D7" t="inlineStr">
        <is>
          <t>Comments</t>
        </is>
      </c>
      <c r="F7" t="inlineStr">
        <is>
          <t>Error kL</t>
        </is>
      </c>
      <c r="G7" t="inlineStr">
        <is>
          <t>FIT0101 kL</t>
        </is>
      </c>
      <c r="I7" t="inlineStr">
        <is>
          <t>FIT0501 kL</t>
        </is>
      </c>
      <c r="K7" t="inlineStr">
        <is>
          <t>Bores</t>
        </is>
      </c>
      <c r="O7" t="inlineStr">
        <is>
          <t>AE pump grease</t>
        </is>
      </c>
      <c r="P7" t="inlineStr">
        <is>
          <t>Air compressor drain</t>
        </is>
      </c>
      <c r="Q7" t="inlineStr">
        <is>
          <t>Bag filter swap</t>
        </is>
      </c>
      <c r="R7" t="inlineStr">
        <is>
          <t>Dosing pump check</t>
        </is>
      </c>
      <c r="S7" t="inlineStr">
        <is>
          <t>pH probe calibration</t>
        </is>
      </c>
      <c r="T7" t="inlineStr">
        <is>
          <t>Flow meter verify</t>
        </is>
      </c>
      <c r="U7" t="inlineStr">
        <is>
          <t>Sight glass clean</t>
        </is>
      </c>
      <c r="V7" t="inlineStr">
        <is>
          <t>Cabinet filter</t>
        </is>
      </c>
      <c r="W7" t="inlineStr">
        <is>
          <t>Oil level check</t>
        </is>
      </c>
      <c r="X7" t="inlineStr">
        <is>
          <t>Alarm lamp test</t>
        </is>
      </c>
    </row>
    <row r="9">
      <c r="B9" t="n">
        <v>1</v>
      </c>
      <c r="C9" t="n">
        <v>1</v>
      </c>
      <c r="G9" t="n">
        <v>34.2</v>
      </c>
      <c r="I9" t="n">
        <v>34.8</v>
      </c>
      <c r="K9" t="inlineStr">
        <is>
          <t>All ON</t>
        </is>
      </c>
    </row>
    <row r="10">
      <c r="B10" t="n">
        <v>2</v>
      </c>
      <c r="C10" t="n">
        <v>1</v>
      </c>
      <c r="G10" t="n">
        <v>37.4</v>
      </c>
      <c r="I10" t="n">
        <v>36.9</v>
      </c>
      <c r="K10" t="inlineStr">
        <is>
          <t>All ON</t>
        </is>
      </c>
    </row>
    <row r="11">
      <c r="B11" t="n">
        <v>3</v>
      </c>
      <c r="C11" t="n">
        <v>1</v>
      </c>
      <c r="G11" t="n">
        <v>45.6</v>
      </c>
      <c r="I11" t="n">
        <v>44.5</v>
      </c>
      <c r="K11" t="inlineStr">
        <is>
          <t>All ON</t>
        </is>
      </c>
    </row>
    <row r="12">
      <c r="B12" t="n">
        <v>4</v>
      </c>
      <c r="C12" t="n">
        <v>1</v>
      </c>
      <c r="G12" t="n">
        <v>35.4</v>
      </c>
      <c r="I12" t="n">
        <v>36.7</v>
      </c>
      <c r="K12" t="inlineStr">
        <is>
          <t>All ON</t>
        </is>
      </c>
    </row>
    <row r="13">
      <c r="B13" t="n">
        <v>5</v>
      </c>
      <c r="C13" t="n">
        <v>1</v>
      </c>
      <c r="G13" t="n">
        <v>40.5</v>
      </c>
      <c r="I13" t="n">
        <v>42.2</v>
      </c>
      <c r="K13" t="inlineStr">
        <is>
          <t>All ON</t>
        </is>
      </c>
    </row>
    <row r="14">
      <c r="B14" t="n">
        <v>6</v>
      </c>
      <c r="C14" t="n">
        <v>1</v>
      </c>
      <c r="G14" t="n">
        <v>36.2</v>
      </c>
      <c r="I14" t="n">
        <v>35.3</v>
      </c>
      <c r="K14" t="inlineStr">
        <is>
          <t>All ON</t>
        </is>
      </c>
    </row>
    <row r="15">
      <c r="B15" t="n">
        <v>7</v>
      </c>
      <c r="C15" t="n">
        <v>1</v>
      </c>
      <c r="G15" t="n">
        <v>40.9</v>
      </c>
      <c r="I15" t="n">
        <v>42.3</v>
      </c>
      <c r="K15" t="inlineStr">
        <is>
          <t>All ON</t>
        </is>
      </c>
    </row>
    <row r="16">
      <c r="B16" t="n">
        <v>8</v>
      </c>
      <c r="C16" t="n">
        <v>1</v>
      </c>
      <c r="G16" t="n">
        <v>34.2</v>
      </c>
      <c r="I16" t="n">
        <v>33.7</v>
      </c>
      <c r="K16" t="inlineStr">
        <is>
          <t>All ON</t>
        </is>
      </c>
    </row>
    <row r="17">
      <c r="B17" t="n">
        <v>9</v>
      </c>
      <c r="C17" t="n">
        <v>1</v>
      </c>
      <c r="G17" t="n">
        <v>43.5</v>
      </c>
      <c r="I17" t="n">
        <v>43.6</v>
      </c>
      <c r="K17" t="inlineStr">
        <is>
          <t>All ON</t>
        </is>
      </c>
    </row>
    <row r="18">
      <c r="B18" t="n">
        <v>10</v>
      </c>
      <c r="C18" t="n">
        <v>1</v>
      </c>
      <c r="G18" t="n">
        <v>36.5</v>
      </c>
      <c r="I18" t="n">
        <v>38.1</v>
      </c>
      <c r="K18" t="inlineStr">
        <is>
          <t>All ON</t>
        </is>
      </c>
    </row>
    <row r="19">
      <c r="B19" t="n">
        <v>11</v>
      </c>
      <c r="C19" t="n">
        <v>1</v>
      </c>
      <c r="G19" t="n">
        <v>42.5</v>
      </c>
      <c r="I19" t="n">
        <v>41.4</v>
      </c>
      <c r="K19" t="inlineStr">
        <is>
          <t>All ON</t>
        </is>
      </c>
    </row>
    <row r="20">
      <c r="B20" t="n">
        <v>12</v>
      </c>
      <c r="C20" t="n">
        <v>1</v>
      </c>
      <c r="G20" t="n">
        <v>33.1</v>
      </c>
      <c r="I20" t="n">
        <v>34.3</v>
      </c>
      <c r="K20" t="inlineStr">
        <is>
          <t>All ON</t>
        </is>
      </c>
    </row>
    <row r="21">
      <c r="B21" t="n">
        <v>13</v>
      </c>
      <c r="C21" t="n">
        <v>1</v>
      </c>
      <c r="G21" t="n">
        <v>37.7</v>
      </c>
      <c r="I21" t="n">
        <v>38</v>
      </c>
      <c r="K21" t="inlineStr">
        <is>
          <t>All ON</t>
        </is>
      </c>
    </row>
    <row r="22">
      <c r="B22" t="n">
        <v>14</v>
      </c>
      <c r="C22" t="n">
        <v>1</v>
      </c>
      <c r="G22" t="n">
        <v>44.2</v>
      </c>
      <c r="I22" t="n">
        <v>43.3</v>
      </c>
      <c r="K22" t="inlineStr">
        <is>
          <t>All ON</t>
        </is>
      </c>
    </row>
    <row r="23">
      <c r="B23" t="n">
        <v>15</v>
      </c>
      <c r="C23" t="n">
        <v>1</v>
      </c>
      <c r="D23" t="inlineStr">
        <is>
          <t>Sample run collected</t>
        </is>
      </c>
      <c r="G23" t="n">
        <v>43.1</v>
      </c>
      <c r="I23" t="n">
        <v>42.9</v>
      </c>
      <c r="K23" t="inlineStr">
        <is>
          <t>All ON</t>
        </is>
      </c>
    </row>
    <row r="24">
      <c r="B24" t="n">
        <v>16</v>
      </c>
      <c r="C24" t="n">
        <v>1</v>
      </c>
      <c r="G24" t="n">
        <v>39.6</v>
      </c>
      <c r="I24" t="n">
        <v>40.5</v>
      </c>
      <c r="K24" t="inlineStr">
        <is>
          <t>All ON</t>
        </is>
      </c>
    </row>
    <row r="25">
      <c r="B25" t="n">
        <v>17</v>
      </c>
      <c r="C25" t="n">
        <v>1</v>
      </c>
      <c r="G25" t="n">
        <v>35.3</v>
      </c>
      <c r="I25" t="n">
        <v>34.6</v>
      </c>
      <c r="K25" t="inlineStr">
        <is>
          <t>All ON</t>
        </is>
      </c>
    </row>
    <row r="26">
      <c r="B26" t="n">
        <v>18</v>
      </c>
      <c r="C26" t="n">
        <v>1</v>
      </c>
      <c r="D26" t="inlineStr">
        <is>
          <t>Sample run collected</t>
        </is>
      </c>
      <c r="G26" t="n">
        <v>34.8</v>
      </c>
      <c r="I26" t="n">
        <v>36.4</v>
      </c>
      <c r="K26" t="inlineStr">
        <is>
          <t>All ON</t>
        </is>
      </c>
    </row>
    <row r="27">
      <c r="B27" t="n">
        <v>19</v>
      </c>
      <c r="C27" t="n">
        <v>1</v>
      </c>
      <c r="G27" t="n">
        <v>37</v>
      </c>
      <c r="I27" t="n">
        <v>38.1</v>
      </c>
      <c r="K27" t="inlineStr">
        <is>
          <t>All ON</t>
        </is>
      </c>
    </row>
    <row r="28">
      <c r="B28" t="n">
        <v>20</v>
      </c>
      <c r="C28" t="n">
        <v>1</v>
      </c>
      <c r="D28" t="inlineStr">
        <is>
          <t>Storm inflow overnight</t>
        </is>
      </c>
      <c r="G28" t="n">
        <v>49.2</v>
      </c>
      <c r="I28" t="n">
        <v>47.8</v>
      </c>
      <c r="K28" t="inlineStr">
        <is>
          <t>All ON</t>
        </is>
      </c>
    </row>
    <row r="29">
      <c r="B29" t="n">
        <v>21</v>
      </c>
      <c r="C29" t="n">
        <v>1</v>
      </c>
      <c r="G29" t="n">
        <v>34.6</v>
      </c>
      <c r="I29" t="n">
        <v>34.1</v>
      </c>
      <c r="K29" t="inlineStr">
        <is>
          <t>All ON</t>
        </is>
      </c>
    </row>
    <row r="30">
      <c r="B30" t="n">
        <v>22</v>
      </c>
      <c r="C30" t="n">
        <v>1</v>
      </c>
      <c r="G30" t="n">
        <v>40.1</v>
      </c>
      <c r="I30" t="n">
        <v>41.2</v>
      </c>
      <c r="K30" t="inlineStr">
        <is>
          <t>All ON</t>
        </is>
      </c>
      <c r="X30" s="1" t="n">
        <v>46103.375</v>
      </c>
    </row>
    <row r="31">
      <c r="B31" t="n">
        <v>23</v>
      </c>
      <c r="C31" t="n">
        <v>1</v>
      </c>
      <c r="G31" t="n">
        <v>43.1</v>
      </c>
      <c r="I31" t="n">
        <v>44.5</v>
      </c>
      <c r="K31" t="inlineStr">
        <is>
          <t>All ON</t>
        </is>
      </c>
    </row>
    <row r="32">
      <c r="B32" t="n">
        <v>24</v>
      </c>
      <c r="C32" t="n">
        <v>1</v>
      </c>
      <c r="G32" t="n">
        <v>41.1</v>
      </c>
      <c r="I32" t="n">
        <v>42.1</v>
      </c>
      <c r="K32" t="inlineStr">
        <is>
          <t>All ON</t>
        </is>
      </c>
    </row>
    <row r="33">
      <c r="B33" t="n">
        <v>25</v>
      </c>
      <c r="C33" t="n">
        <v>1</v>
      </c>
      <c r="G33" t="n">
        <v>40.2</v>
      </c>
      <c r="I33" t="n">
        <v>42</v>
      </c>
      <c r="K33" t="inlineStr">
        <is>
          <t>All ON</t>
        </is>
      </c>
    </row>
    <row r="34">
      <c r="B34" t="n">
        <v>26</v>
      </c>
      <c r="C34" t="n">
        <v>1</v>
      </c>
      <c r="G34" t="n">
        <v>45.8</v>
      </c>
      <c r="I34" t="n">
        <v>45.3</v>
      </c>
      <c r="K34" t="inlineStr">
        <is>
          <t>All ON</t>
        </is>
      </c>
    </row>
    <row r="35">
      <c r="B35" t="n">
        <v>27</v>
      </c>
      <c r="C35" t="n">
        <v>1</v>
      </c>
      <c r="G35" t="n">
        <v>36.9</v>
      </c>
      <c r="I35" t="n">
        <v>37.4</v>
      </c>
      <c r="K35" t="inlineStr">
        <is>
          <t>All ON</t>
        </is>
      </c>
      <c r="U35" s="1" t="n">
        <v>46108.375</v>
      </c>
    </row>
    <row r="36">
      <c r="B36" t="n">
        <v>28</v>
      </c>
      <c r="C36" t="n">
        <v>1</v>
      </c>
      <c r="G36" t="n">
        <v>33.6</v>
      </c>
      <c r="I36" t="n">
        <v>35.2</v>
      </c>
      <c r="K36" t="inlineStr">
        <is>
          <t>All ON</t>
        </is>
      </c>
    </row>
    <row r="37">
      <c r="B37" t="n">
        <v>29</v>
      </c>
      <c r="C37" t="n">
        <v>1</v>
      </c>
      <c r="D37" t="inlineStr">
        <is>
          <t>s.v - routine site check</t>
        </is>
      </c>
      <c r="G37" t="n">
        <v>36.2</v>
      </c>
      <c r="I37" t="n">
        <v>37.5</v>
      </c>
      <c r="K37" t="inlineStr">
        <is>
          <t>All ON</t>
        </is>
      </c>
    </row>
    <row r="38">
      <c r="B38" t="n">
        <v>30</v>
      </c>
      <c r="C38" t="n">
        <v>1</v>
      </c>
      <c r="G38" t="n">
        <v>41.9</v>
      </c>
      <c r="I38" t="n">
        <v>42.1</v>
      </c>
      <c r="K38" t="inlineStr">
        <is>
          <t>All ON</t>
        </is>
      </c>
    </row>
    <row r="39">
      <c r="B39" t="n">
        <v>31</v>
      </c>
      <c r="C39" t="n">
        <v>1</v>
      </c>
      <c r="G39" t="n">
        <v>38.6</v>
      </c>
      <c r="I39" t="n">
        <v>38.2</v>
      </c>
      <c r="K39" t="inlineStr">
        <is>
          <t>All ON</t>
        </is>
      </c>
      <c r="O39" s="1" t="n">
        <v>46112.375</v>
      </c>
    </row>
    <row r="51">
      <c r="L51">
        <f>1675.9-1670.3+(0/30*5.3)</f>
        <v/>
      </c>
      <c r="N51" t="n">
        <v>5.1</v>
      </c>
    </row>
    <row r="53">
      <c r="O53" t="n">
        <v>1</v>
      </c>
      <c r="P53" t="n">
        <v>0.92</v>
      </c>
      <c r="Q53" t="n">
        <v>1.24</v>
      </c>
      <c r="R53" t="n">
        <v>1.05</v>
      </c>
    </row>
    <row r="54">
      <c r="O54" t="n">
        <v>3.2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X54"/>
  <sheetViews>
    <sheetView workbookViewId="0">
      <selection activeCell="A1" sqref="A1"/>
    </sheetView>
  </sheetViews>
  <sheetFormatPr baseColWidth="8" defaultRowHeight="15"/>
  <sheetData>
    <row r="2">
      <c r="D2" t="inlineStr">
        <is>
          <t>Snapshot</t>
        </is>
      </c>
      <c r="E2" t="n">
        <v>1.31</v>
      </c>
      <c r="F2" t="n">
        <v>1.67</v>
      </c>
      <c r="G2" t="n">
        <v>1.38</v>
      </c>
      <c r="H2" t="n">
        <v>0</v>
      </c>
      <c r="I2" t="n">
        <v>0.96</v>
      </c>
      <c r="L2" t="inlineStr">
        <is>
          <t>31 Mar @ midnght</t>
        </is>
      </c>
    </row>
    <row r="3">
      <c r="D3" t="inlineStr">
        <is>
          <t>Snapshot</t>
        </is>
      </c>
      <c r="E3" t="n">
        <v>1.13</v>
      </c>
      <c r="F3" t="n">
        <v>1.96</v>
      </c>
      <c r="G3" t="n">
        <v>1.56</v>
      </c>
      <c r="H3" t="n">
        <v>0</v>
      </c>
      <c r="I3" t="n">
        <v>0.6</v>
      </c>
      <c r="L3" t="inlineStr">
        <is>
          <t>30 Apr @ 5pm</t>
        </is>
      </c>
    </row>
    <row r="6">
      <c r="A6" t="inlineStr">
        <is>
          <t>Month:</t>
        </is>
      </c>
      <c r="D6" t="inlineStr">
        <is>
          <t>April</t>
        </is>
      </c>
      <c r="E6" t="n">
        <v>2026</v>
      </c>
    </row>
    <row r="7">
      <c r="B7" t="inlineStr">
        <is>
          <t>Day</t>
        </is>
      </c>
      <c r="C7" t="inlineStr">
        <is>
          <t>Op</t>
        </is>
      </c>
      <c r="D7" t="inlineStr">
        <is>
          <t>Comments</t>
        </is>
      </c>
      <c r="F7" t="inlineStr">
        <is>
          <t>Error kL</t>
        </is>
      </c>
      <c r="G7" t="inlineStr">
        <is>
          <t>FIT0101 kL</t>
        </is>
      </c>
      <c r="I7" t="inlineStr">
        <is>
          <t>FIT0501 kL</t>
        </is>
      </c>
      <c r="K7" t="inlineStr">
        <is>
          <t>Bores</t>
        </is>
      </c>
      <c r="O7" t="inlineStr">
        <is>
          <t>AE pump grease</t>
        </is>
      </c>
      <c r="P7" t="inlineStr">
        <is>
          <t>Air compressor drain</t>
        </is>
      </c>
      <c r="Q7" t="inlineStr">
        <is>
          <t>Bag filter swap</t>
        </is>
      </c>
      <c r="R7" t="inlineStr">
        <is>
          <t>Dosing pump check</t>
        </is>
      </c>
      <c r="S7" t="inlineStr">
        <is>
          <t>pH probe calibration</t>
        </is>
      </c>
      <c r="T7" t="inlineStr">
        <is>
          <t>Flow meter verify</t>
        </is>
      </c>
      <c r="U7" t="inlineStr">
        <is>
          <t>Sight glass clean</t>
        </is>
      </c>
      <c r="V7" t="inlineStr">
        <is>
          <t>Cabinet filter</t>
        </is>
      </c>
      <c r="W7" t="inlineStr">
        <is>
          <t>Oil level check</t>
        </is>
      </c>
      <c r="X7" t="inlineStr">
        <is>
          <t>Alarm lamp test</t>
        </is>
      </c>
    </row>
    <row r="14">
      <c r="B14" t="n">
        <v>1</v>
      </c>
      <c r="C14" t="n">
        <v>1</v>
      </c>
      <c r="G14" t="n">
        <v>33.8</v>
      </c>
      <c r="I14" t="n">
        <v>33.7</v>
      </c>
      <c r="K14" t="inlineStr">
        <is>
          <t>All ON</t>
        </is>
      </c>
    </row>
    <row r="15">
      <c r="B15" t="n">
        <v>2</v>
      </c>
      <c r="C15" t="n">
        <v>1</v>
      </c>
      <c r="G15" t="n">
        <v>34.8</v>
      </c>
      <c r="I15" t="n">
        <v>34</v>
      </c>
      <c r="K15" t="inlineStr">
        <is>
          <t>All ON</t>
        </is>
      </c>
    </row>
    <row r="16">
      <c r="B16" t="n">
        <v>3</v>
      </c>
      <c r="C16" t="n">
        <v>1</v>
      </c>
      <c r="G16" t="n">
        <v>36.4</v>
      </c>
      <c r="I16" t="n">
        <v>37.9</v>
      </c>
      <c r="K16" t="inlineStr">
        <is>
          <t>All ON</t>
        </is>
      </c>
    </row>
    <row r="17">
      <c r="B17" t="n">
        <v>4</v>
      </c>
      <c r="C17" t="n">
        <v>1</v>
      </c>
      <c r="D17" t="inlineStr">
        <is>
          <t>Greased AE pump, all normal</t>
        </is>
      </c>
      <c r="G17" t="n">
        <v>38.2</v>
      </c>
      <c r="I17" t="n">
        <v>38.3</v>
      </c>
      <c r="K17" t="inlineStr">
        <is>
          <t>All ON</t>
        </is>
      </c>
    </row>
    <row r="18">
      <c r="B18" t="n">
        <v>5</v>
      </c>
      <c r="C18" t="n">
        <v>1</v>
      </c>
      <c r="G18" t="n">
        <v>41</v>
      </c>
      <c r="I18" t="n">
        <v>40.5</v>
      </c>
      <c r="K18" t="inlineStr">
        <is>
          <t>All ON</t>
        </is>
      </c>
    </row>
    <row r="19">
      <c r="B19" t="n">
        <v>6</v>
      </c>
      <c r="C19" t="n">
        <v>1</v>
      </c>
      <c r="G19" t="n">
        <v>33.1</v>
      </c>
      <c r="I19" t="n">
        <v>33.6</v>
      </c>
      <c r="K19" t="inlineStr">
        <is>
          <t>All ON</t>
        </is>
      </c>
    </row>
    <row r="20">
      <c r="B20" t="n">
        <v>7</v>
      </c>
      <c r="C20" t="n">
        <v>1</v>
      </c>
      <c r="G20" t="n">
        <v>39.5</v>
      </c>
      <c r="I20" t="n">
        <v>40.4</v>
      </c>
      <c r="K20" t="inlineStr">
        <is>
          <t>All ON</t>
        </is>
      </c>
    </row>
    <row r="21">
      <c r="B21" t="n">
        <v>8</v>
      </c>
      <c r="C21" t="n">
        <v>1</v>
      </c>
      <c r="G21" t="n">
        <v>38.7</v>
      </c>
      <c r="I21" t="n">
        <v>39.7</v>
      </c>
      <c r="K21" t="inlineStr">
        <is>
          <t>All ON</t>
        </is>
      </c>
    </row>
    <row r="22">
      <c r="B22" t="n">
        <v>9</v>
      </c>
      <c r="C22" t="n">
        <v>1</v>
      </c>
      <c r="D22" t="inlineStr">
        <is>
          <t>s.v - routine site check</t>
        </is>
      </c>
      <c r="G22" t="n">
        <v>42.5</v>
      </c>
      <c r="I22" t="n">
        <v>42.1</v>
      </c>
      <c r="K22" t="inlineStr">
        <is>
          <t>All ON</t>
        </is>
      </c>
    </row>
    <row r="23">
      <c r="B23" t="n">
        <v>10</v>
      </c>
      <c r="C23" t="n">
        <v>1</v>
      </c>
      <c r="G23" t="n">
        <v>39.4</v>
      </c>
      <c r="I23" t="n">
        <v>39.7</v>
      </c>
      <c r="K23" t="inlineStr">
        <is>
          <t>All ON</t>
        </is>
      </c>
    </row>
    <row r="24">
      <c r="B24" t="n">
        <v>11</v>
      </c>
      <c r="C24" t="n">
        <v>1</v>
      </c>
      <c r="G24" t="n">
        <v>35.9</v>
      </c>
      <c r="I24" t="n">
        <v>36</v>
      </c>
      <c r="K24" t="inlineStr">
        <is>
          <t>All ON</t>
        </is>
      </c>
    </row>
    <row r="25">
      <c r="B25" t="n">
        <v>12</v>
      </c>
      <c r="C25" t="n">
        <v>1</v>
      </c>
      <c r="G25" t="n">
        <v>40.3</v>
      </c>
      <c r="I25" t="n">
        <v>42</v>
      </c>
      <c r="K25" t="inlineStr">
        <is>
          <t>All ON</t>
        </is>
      </c>
    </row>
    <row r="26">
      <c r="B26" t="n">
        <v>13</v>
      </c>
      <c r="C26" t="n">
        <v>1</v>
      </c>
      <c r="G26" t="n">
        <v>44.9</v>
      </c>
      <c r="I26" t="n">
        <v>44.6</v>
      </c>
      <c r="K26" t="inlineStr">
        <is>
          <t>All ON</t>
        </is>
      </c>
    </row>
    <row r="27">
      <c r="B27" t="n">
        <v>14</v>
      </c>
      <c r="C27" t="n">
        <v>1</v>
      </c>
      <c r="G27" t="n">
        <v>41.4</v>
      </c>
      <c r="I27" t="n">
        <v>40.4</v>
      </c>
      <c r="K27" t="inlineStr">
        <is>
          <t>All ON</t>
        </is>
      </c>
      <c r="U27" s="1" t="n">
        <v>46126.375</v>
      </c>
    </row>
    <row r="28">
      <c r="B28" t="n">
        <v>15</v>
      </c>
      <c r="C28" t="n">
        <v>1</v>
      </c>
      <c r="G28" t="n">
        <v>33.9</v>
      </c>
      <c r="I28" t="n">
        <v>34.3</v>
      </c>
      <c r="K28" t="inlineStr">
        <is>
          <t>All ON</t>
        </is>
      </c>
    </row>
    <row r="29">
      <c r="B29" t="n">
        <v>16</v>
      </c>
      <c r="C29" t="n">
        <v>1</v>
      </c>
      <c r="G29" t="n">
        <v>44.4</v>
      </c>
      <c r="I29" t="n">
        <v>43.7</v>
      </c>
      <c r="K29" t="inlineStr">
        <is>
          <t>All ON</t>
        </is>
      </c>
    </row>
    <row r="30">
      <c r="B30" t="n">
        <v>17</v>
      </c>
      <c r="C30" t="n">
        <v>1</v>
      </c>
      <c r="G30" t="n">
        <v>43</v>
      </c>
      <c r="I30" t="n">
        <v>44.6</v>
      </c>
      <c r="K30" t="inlineStr">
        <is>
          <t>All ON</t>
        </is>
      </c>
    </row>
    <row r="31">
      <c r="B31" t="n">
        <v>18</v>
      </c>
      <c r="C31" t="n">
        <v>1</v>
      </c>
      <c r="G31" t="n">
        <v>37.1</v>
      </c>
      <c r="I31" t="n">
        <v>38.1</v>
      </c>
      <c r="K31" t="inlineStr">
        <is>
          <t>All ON</t>
        </is>
      </c>
    </row>
    <row r="32">
      <c r="B32" t="n">
        <v>19</v>
      </c>
      <c r="C32" t="n">
        <v>1</v>
      </c>
      <c r="G32" t="n">
        <v>44</v>
      </c>
      <c r="I32" t="n">
        <v>44</v>
      </c>
      <c r="K32" t="inlineStr">
        <is>
          <t>All ON</t>
        </is>
      </c>
    </row>
    <row r="33">
      <c r="B33" t="n">
        <v>20</v>
      </c>
      <c r="C33" t="n">
        <v>1</v>
      </c>
      <c r="G33" t="n">
        <v>42.1</v>
      </c>
      <c r="I33" t="n">
        <v>43.3</v>
      </c>
      <c r="K33" t="inlineStr">
        <is>
          <t>All ON</t>
        </is>
      </c>
    </row>
    <row r="34">
      <c r="B34" t="n">
        <v>21</v>
      </c>
      <c r="C34" t="n">
        <v>1</v>
      </c>
      <c r="D34" t="inlineStr">
        <is>
          <t>s.v - routine site check</t>
        </is>
      </c>
      <c r="G34" t="n">
        <v>40.7</v>
      </c>
      <c r="I34" t="n">
        <v>42.2</v>
      </c>
      <c r="K34" t="inlineStr">
        <is>
          <t>All ON</t>
        </is>
      </c>
    </row>
    <row r="35">
      <c r="B35" t="n">
        <v>22</v>
      </c>
      <c r="C35" t="n">
        <v>1</v>
      </c>
      <c r="D35" t="inlineStr">
        <is>
          <t>False flow during filter swap - 0.3 deducted</t>
        </is>
      </c>
      <c r="F35" t="n">
        <v>0.3</v>
      </c>
      <c r="G35" t="n">
        <v>44.7</v>
      </c>
      <c r="I35" t="n">
        <v>46.6</v>
      </c>
      <c r="K35" t="inlineStr">
        <is>
          <t>All ON</t>
        </is>
      </c>
    </row>
    <row r="36">
      <c r="B36" t="n">
        <v>23</v>
      </c>
      <c r="C36" t="n">
        <v>1</v>
      </c>
      <c r="G36" t="n">
        <v>40.4</v>
      </c>
      <c r="I36" t="n">
        <v>39.8</v>
      </c>
      <c r="K36" t="inlineStr">
        <is>
          <t>All ON</t>
        </is>
      </c>
    </row>
    <row r="37">
      <c r="B37" t="n">
        <v>24</v>
      </c>
      <c r="C37" t="n">
        <v>1</v>
      </c>
      <c r="G37" t="n">
        <v>36.3</v>
      </c>
      <c r="I37" t="n">
        <v>35.8</v>
      </c>
      <c r="K37" t="inlineStr">
        <is>
          <t>All ON</t>
        </is>
      </c>
    </row>
    <row r="38">
      <c r="B38" t="n">
        <v>25</v>
      </c>
      <c r="C38" t="n">
        <v>1</v>
      </c>
      <c r="G38" t="n">
        <v>40.4</v>
      </c>
      <c r="I38" t="n">
        <v>41.6</v>
      </c>
      <c r="K38" t="inlineStr">
        <is>
          <t>All ON</t>
        </is>
      </c>
    </row>
    <row r="39">
      <c r="B39" t="n">
        <v>26</v>
      </c>
      <c r="C39" t="n">
        <v>1</v>
      </c>
      <c r="G39" t="n">
        <v>33.7</v>
      </c>
      <c r="I39" t="n">
        <v>34.7</v>
      </c>
      <c r="K39" t="inlineStr">
        <is>
          <t>All ON</t>
        </is>
      </c>
    </row>
    <row r="40">
      <c r="B40" t="n">
        <v>27</v>
      </c>
      <c r="C40" t="n">
        <v>1</v>
      </c>
      <c r="G40" t="n">
        <v>42.3</v>
      </c>
      <c r="I40" t="n">
        <v>42.2</v>
      </c>
      <c r="K40" t="inlineStr">
        <is>
          <t>All ON</t>
        </is>
      </c>
      <c r="U40" s="1" t="n">
        <v>46139.375</v>
      </c>
    </row>
    <row r="41">
      <c r="B41" t="n">
        <v>28</v>
      </c>
      <c r="C41" t="n">
        <v>1</v>
      </c>
      <c r="G41" t="n">
        <v>39.7</v>
      </c>
      <c r="I41" t="n">
        <v>39</v>
      </c>
      <c r="K41" t="inlineStr">
        <is>
          <t>All ON</t>
        </is>
      </c>
    </row>
    <row r="42">
      <c r="B42" t="n">
        <v>29</v>
      </c>
      <c r="C42" t="n">
        <v>1</v>
      </c>
      <c r="G42" t="n">
        <v>42.5</v>
      </c>
      <c r="I42" t="n">
        <v>41.4</v>
      </c>
      <c r="K42" t="inlineStr">
        <is>
          <t>All ON</t>
        </is>
      </c>
    </row>
    <row r="43">
      <c r="B43" t="n">
        <v>30</v>
      </c>
      <c r="C43" t="n">
        <v>1</v>
      </c>
      <c r="G43" t="n">
        <v>45.8</v>
      </c>
      <c r="I43" t="n">
        <v>47.2</v>
      </c>
      <c r="K43" t="inlineStr">
        <is>
          <t>All ON</t>
        </is>
      </c>
      <c r="Q43" s="1" t="n">
        <v>46142.375</v>
      </c>
    </row>
    <row r="51">
      <c r="L51">
        <f>1680.8-1675.9+(0/30*5.3)</f>
        <v/>
      </c>
      <c r="N51" t="n">
        <v>5.25</v>
      </c>
    </row>
    <row r="53">
      <c r="O53" t="n">
        <v>1</v>
      </c>
      <c r="P53" t="n">
        <v>0.95</v>
      </c>
      <c r="Q53" t="n">
        <v>1.18</v>
      </c>
      <c r="R53" t="n">
        <v>1.02</v>
      </c>
    </row>
    <row r="54">
      <c r="O54" t="n">
        <v>3.1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X54"/>
  <sheetViews>
    <sheetView workbookViewId="0">
      <selection activeCell="A1" sqref="A1"/>
    </sheetView>
  </sheetViews>
  <sheetFormatPr baseColWidth="8" defaultRowHeight="15"/>
  <sheetData>
    <row r="2">
      <c r="D2" t="inlineStr">
        <is>
          <t>Snapshot</t>
        </is>
      </c>
      <c r="E2" t="n">
        <v>1.13</v>
      </c>
      <c r="F2" t="n">
        <v>1.96</v>
      </c>
      <c r="G2" t="n">
        <v>1.56</v>
      </c>
      <c r="H2" t="n">
        <v>0</v>
      </c>
      <c r="I2" t="n">
        <v>0.6</v>
      </c>
      <c r="L2" t="inlineStr">
        <is>
          <t>30 Apr @ 5pm</t>
        </is>
      </c>
    </row>
    <row r="3">
      <c r="D3" t="inlineStr">
        <is>
          <t>Snapshot</t>
        </is>
      </c>
      <c r="E3" t="n">
        <v>2.12</v>
      </c>
      <c r="F3" t="n">
        <v>2.97</v>
      </c>
      <c r="G3" t="n">
        <v>2.49</v>
      </c>
      <c r="H3" t="n">
        <v>0</v>
      </c>
      <c r="I3" t="n">
        <v>0.74</v>
      </c>
      <c r="L3" t="inlineStr">
        <is>
          <t>31 May @ midnight</t>
        </is>
      </c>
    </row>
    <row r="6">
      <c r="A6" t="inlineStr">
        <is>
          <t>Month:</t>
        </is>
      </c>
      <c r="D6" t="inlineStr">
        <is>
          <t>May</t>
        </is>
      </c>
      <c r="E6" t="n">
        <v>2026</v>
      </c>
    </row>
    <row r="7">
      <c r="B7" t="inlineStr">
        <is>
          <t>Day</t>
        </is>
      </c>
      <c r="C7" t="inlineStr">
        <is>
          <t>Op</t>
        </is>
      </c>
      <c r="D7" t="inlineStr">
        <is>
          <t>Comments</t>
        </is>
      </c>
      <c r="F7" t="inlineStr">
        <is>
          <t>Error kL</t>
        </is>
      </c>
      <c r="G7" t="inlineStr">
        <is>
          <t>FIT0101 kL</t>
        </is>
      </c>
      <c r="I7" t="inlineStr">
        <is>
          <t>FIT0501 kL</t>
        </is>
      </c>
      <c r="K7" t="inlineStr">
        <is>
          <t>Bores</t>
        </is>
      </c>
      <c r="O7" t="inlineStr">
        <is>
          <t>AE pump grease</t>
        </is>
      </c>
      <c r="P7" t="inlineStr">
        <is>
          <t>Air compressor drain</t>
        </is>
      </c>
      <c r="Q7" t="inlineStr">
        <is>
          <t>Bag filter swap</t>
        </is>
      </c>
      <c r="R7" t="inlineStr">
        <is>
          <t>Dosing pump check</t>
        </is>
      </c>
      <c r="S7" t="inlineStr">
        <is>
          <t>pH probe calibration</t>
        </is>
      </c>
      <c r="T7" t="inlineStr">
        <is>
          <t>Flow meter verify</t>
        </is>
      </c>
      <c r="U7" t="inlineStr">
        <is>
          <t>Sight glass clean</t>
        </is>
      </c>
      <c r="V7" t="inlineStr">
        <is>
          <t>Cabinet filter</t>
        </is>
      </c>
      <c r="W7" t="inlineStr">
        <is>
          <t>Oil level check</t>
        </is>
      </c>
      <c r="X7" t="inlineStr">
        <is>
          <t>Alarm lamp test</t>
        </is>
      </c>
    </row>
    <row r="11">
      <c r="B11" t="n">
        <v>1</v>
      </c>
      <c r="C11" t="n">
        <v>1</v>
      </c>
      <c r="G11" t="n">
        <v>44.8</v>
      </c>
      <c r="I11" t="n">
        <v>45</v>
      </c>
      <c r="K11" t="inlineStr">
        <is>
          <t>All ON</t>
        </is>
      </c>
    </row>
    <row r="12">
      <c r="B12" t="n">
        <v>2</v>
      </c>
      <c r="C12" t="n">
        <v>1</v>
      </c>
      <c r="G12" t="n">
        <v>41.1</v>
      </c>
      <c r="I12" t="n">
        <v>41.5</v>
      </c>
      <c r="K12" t="inlineStr">
        <is>
          <t>All ON</t>
        </is>
      </c>
    </row>
    <row r="13">
      <c r="B13" t="n">
        <v>3</v>
      </c>
      <c r="C13" t="n">
        <v>1</v>
      </c>
      <c r="G13" t="n">
        <v>35.8</v>
      </c>
      <c r="I13" t="n">
        <v>36</v>
      </c>
      <c r="K13" t="inlineStr">
        <is>
          <t>All ON</t>
        </is>
      </c>
    </row>
    <row r="14">
      <c r="B14" t="n">
        <v>4</v>
      </c>
      <c r="C14" t="n">
        <v>1</v>
      </c>
      <c r="G14" t="n">
        <v>39.9</v>
      </c>
      <c r="I14" t="n">
        <v>41.6</v>
      </c>
      <c r="K14" t="inlineStr">
        <is>
          <t>All ON</t>
        </is>
      </c>
    </row>
    <row r="15">
      <c r="B15" t="n">
        <v>5</v>
      </c>
      <c r="C15" t="n">
        <v>1</v>
      </c>
      <c r="G15" t="n">
        <v>41.6</v>
      </c>
      <c r="I15" t="n">
        <v>41.3</v>
      </c>
      <c r="K15" t="inlineStr">
        <is>
          <t>All ON</t>
        </is>
      </c>
    </row>
    <row r="16">
      <c r="B16" t="n">
        <v>6</v>
      </c>
      <c r="C16" t="n">
        <v>1</v>
      </c>
      <c r="G16" t="n">
        <v>37.9</v>
      </c>
      <c r="I16" t="n">
        <v>38.5</v>
      </c>
      <c r="K16" t="inlineStr">
        <is>
          <t>All ON</t>
        </is>
      </c>
    </row>
    <row r="17">
      <c r="B17" t="n">
        <v>7</v>
      </c>
      <c r="C17" t="n">
        <v>1</v>
      </c>
      <c r="G17" t="n">
        <v>45.5</v>
      </c>
      <c r="I17" t="n">
        <v>46</v>
      </c>
      <c r="K17" t="inlineStr">
        <is>
          <t>All ON</t>
        </is>
      </c>
      <c r="W17" s="1" t="n">
        <v>46149.375</v>
      </c>
    </row>
    <row r="18">
      <c r="B18" t="n">
        <v>8</v>
      </c>
      <c r="C18" t="n">
        <v>1</v>
      </c>
      <c r="G18" t="n">
        <v>40.5</v>
      </c>
      <c r="I18" t="n">
        <v>39.4</v>
      </c>
      <c r="K18" t="inlineStr">
        <is>
          <t>All ON</t>
        </is>
      </c>
    </row>
    <row r="19">
      <c r="B19" t="n">
        <v>9</v>
      </c>
      <c r="C19" t="n">
        <v>1</v>
      </c>
      <c r="D19" t="inlineStr">
        <is>
          <t>Greased AE pump, all normal</t>
        </is>
      </c>
      <c r="G19" t="n">
        <v>45.7</v>
      </c>
      <c r="I19" t="n">
        <v>45.3</v>
      </c>
      <c r="K19" t="inlineStr">
        <is>
          <t>All ON</t>
        </is>
      </c>
    </row>
    <row r="20">
      <c r="B20" t="n">
        <v>10</v>
      </c>
      <c r="C20" t="n">
        <v>1</v>
      </c>
      <c r="G20" t="n">
        <v>36.4</v>
      </c>
      <c r="I20" t="n">
        <v>35.8</v>
      </c>
      <c r="K20" t="inlineStr">
        <is>
          <t>All ON</t>
        </is>
      </c>
    </row>
    <row r="21">
      <c r="B21" t="n">
        <v>11</v>
      </c>
      <c r="C21" t="n">
        <v>1</v>
      </c>
      <c r="G21" t="n">
        <v>38.6</v>
      </c>
      <c r="I21" t="n">
        <v>39</v>
      </c>
      <c r="K21" t="inlineStr">
        <is>
          <t>All ON</t>
        </is>
      </c>
    </row>
    <row r="22">
      <c r="B22" t="n">
        <v>12</v>
      </c>
      <c r="C22" t="n">
        <v>1</v>
      </c>
      <c r="D22" t="inlineStr">
        <is>
          <t>PLC freeze - values back-filled from SCADA daily totals</t>
        </is>
      </c>
      <c r="G22" t="n">
        <v>38.6</v>
      </c>
      <c r="I22" t="n">
        <v>39</v>
      </c>
      <c r="K22" t="inlineStr">
        <is>
          <t>All ON</t>
        </is>
      </c>
    </row>
    <row r="23">
      <c r="B23" t="n">
        <v>13</v>
      </c>
      <c r="C23" t="n">
        <v>1</v>
      </c>
      <c r="D23" t="inlineStr">
        <is>
          <t>PLC freeze - values back-filled from SCADA daily totals</t>
        </is>
      </c>
      <c r="G23" t="n">
        <v>38.6</v>
      </c>
      <c r="I23" t="n">
        <v>39</v>
      </c>
      <c r="K23" t="inlineStr">
        <is>
          <t>All ON</t>
        </is>
      </c>
    </row>
    <row r="24">
      <c r="B24" t="n">
        <v>14</v>
      </c>
      <c r="C24" t="n">
        <v>1</v>
      </c>
      <c r="G24" t="n">
        <v>44.2</v>
      </c>
      <c r="I24" t="n">
        <v>45.7</v>
      </c>
      <c r="K24" t="inlineStr">
        <is>
          <t>All ON</t>
        </is>
      </c>
    </row>
    <row r="25">
      <c r="B25" t="n">
        <v>15</v>
      </c>
      <c r="C25" t="n">
        <v>1</v>
      </c>
      <c r="G25" t="n">
        <v>35.2</v>
      </c>
      <c r="I25" t="n">
        <v>35.1</v>
      </c>
      <c r="K25" t="inlineStr">
        <is>
          <t>All ON</t>
        </is>
      </c>
    </row>
    <row r="26">
      <c r="B26" t="n">
        <v>16</v>
      </c>
      <c r="C26" t="n">
        <v>1</v>
      </c>
      <c r="G26" t="n">
        <v>38.5</v>
      </c>
      <c r="I26" t="n">
        <v>37.7</v>
      </c>
      <c r="K26" t="inlineStr">
        <is>
          <t>All ON</t>
        </is>
      </c>
      <c r="R26" s="1" t="n">
        <v>46158.375</v>
      </c>
    </row>
    <row r="27">
      <c r="B27" t="n">
        <v>17</v>
      </c>
      <c r="C27" t="n">
        <v>1</v>
      </c>
      <c r="G27" t="n">
        <v>35.7</v>
      </c>
      <c r="I27" t="n">
        <v>37.3</v>
      </c>
      <c r="K27" t="inlineStr">
        <is>
          <t>All ON</t>
        </is>
      </c>
    </row>
    <row r="28">
      <c r="B28" t="n">
        <v>18</v>
      </c>
      <c r="C28" t="n">
        <v>1</v>
      </c>
      <c r="G28" t="n">
        <v>35.7</v>
      </c>
      <c r="I28" t="n">
        <v>37.1</v>
      </c>
      <c r="K28" t="inlineStr">
        <is>
          <t>All ON</t>
        </is>
      </c>
    </row>
    <row r="29">
      <c r="B29" t="n">
        <v>19</v>
      </c>
      <c r="C29" t="n">
        <v>1</v>
      </c>
      <c r="G29" t="n">
        <v>44.8</v>
      </c>
      <c r="I29" t="n">
        <v>43.7</v>
      </c>
      <c r="K29" t="inlineStr">
        <is>
          <t>All ON</t>
        </is>
      </c>
    </row>
    <row r="30">
      <c r="B30" t="n">
        <v>20</v>
      </c>
      <c r="C30" t="n">
        <v>1</v>
      </c>
      <c r="G30" t="n">
        <v>40.4</v>
      </c>
      <c r="I30" t="n">
        <v>39.2</v>
      </c>
      <c r="K30" t="inlineStr">
        <is>
          <t>All ON</t>
        </is>
      </c>
    </row>
    <row r="31">
      <c r="B31" t="n">
        <v>21</v>
      </c>
      <c r="C31" t="n">
        <v>1</v>
      </c>
      <c r="G31" t="n">
        <v>36.9</v>
      </c>
      <c r="I31" t="n">
        <v>37.9</v>
      </c>
      <c r="K31" t="inlineStr">
        <is>
          <t>All ON</t>
        </is>
      </c>
    </row>
    <row r="32">
      <c r="B32" t="n">
        <v>22</v>
      </c>
      <c r="C32" t="n">
        <v>1</v>
      </c>
      <c r="D32" t="inlineStr">
        <is>
          <t>Sample run collected</t>
        </is>
      </c>
      <c r="G32" t="n">
        <v>42.4</v>
      </c>
      <c r="I32" t="n">
        <v>43.3</v>
      </c>
      <c r="K32" t="inlineStr">
        <is>
          <t>All ON</t>
        </is>
      </c>
    </row>
    <row r="33">
      <c r="B33" t="n">
        <v>23</v>
      </c>
      <c r="C33" t="n">
        <v>1</v>
      </c>
      <c r="D33" t="inlineStr">
        <is>
          <t>Sample run collected</t>
        </is>
      </c>
      <c r="G33" t="n">
        <v>34</v>
      </c>
      <c r="I33" t="n">
        <v>34</v>
      </c>
      <c r="K33" t="inlineStr">
        <is>
          <t>All ON</t>
        </is>
      </c>
    </row>
    <row r="34">
      <c r="B34" t="n">
        <v>24</v>
      </c>
      <c r="C34" t="n">
        <v>1</v>
      </c>
      <c r="G34" t="n">
        <v>43.5</v>
      </c>
      <c r="I34" t="n">
        <v>43.7</v>
      </c>
      <c r="K34" t="inlineStr">
        <is>
          <t>All ON</t>
        </is>
      </c>
      <c r="X34" s="1" t="n">
        <v>46166.375</v>
      </c>
    </row>
    <row r="35">
      <c r="B35" t="n">
        <v>25</v>
      </c>
      <c r="C35" t="n">
        <v>1</v>
      </c>
      <c r="G35" t="n">
        <v>41.8</v>
      </c>
      <c r="I35" t="n">
        <v>43</v>
      </c>
      <c r="K35" t="inlineStr">
        <is>
          <t>All ON</t>
        </is>
      </c>
    </row>
    <row r="36">
      <c r="B36" t="n">
        <v>26</v>
      </c>
      <c r="C36" t="n">
        <v>1</v>
      </c>
      <c r="G36" t="n">
        <v>37.2</v>
      </c>
      <c r="I36" t="n">
        <v>36.4</v>
      </c>
      <c r="K36" t="inlineStr">
        <is>
          <t>All ON</t>
        </is>
      </c>
    </row>
    <row r="37">
      <c r="B37" t="n">
        <v>27</v>
      </c>
      <c r="C37" t="n">
        <v>1</v>
      </c>
      <c r="G37" t="n">
        <v>42.3</v>
      </c>
      <c r="I37" t="n">
        <v>42.2</v>
      </c>
      <c r="K37" t="inlineStr">
        <is>
          <t>All ON</t>
        </is>
      </c>
    </row>
    <row r="38">
      <c r="B38" t="n">
        <v>28</v>
      </c>
      <c r="C38" t="n">
        <v>1</v>
      </c>
      <c r="G38" t="n">
        <v>40</v>
      </c>
      <c r="I38" t="n">
        <v>39.9</v>
      </c>
      <c r="K38" t="inlineStr">
        <is>
          <t>All ON</t>
        </is>
      </c>
    </row>
    <row r="39">
      <c r="B39" t="n">
        <v>29</v>
      </c>
      <c r="C39" t="n">
        <v>1</v>
      </c>
      <c r="G39" t="n">
        <v>42.5</v>
      </c>
      <c r="I39" t="n">
        <v>43.1</v>
      </c>
      <c r="K39" t="inlineStr">
        <is>
          <t>All ON</t>
        </is>
      </c>
    </row>
    <row r="40">
      <c r="B40" t="n">
        <v>30</v>
      </c>
      <c r="C40" t="n">
        <v>1</v>
      </c>
      <c r="G40" t="n">
        <v>34.5</v>
      </c>
      <c r="I40" t="n">
        <v>36.2</v>
      </c>
      <c r="K40" t="inlineStr">
        <is>
          <t>All ON</t>
        </is>
      </c>
    </row>
    <row r="41">
      <c r="B41" t="n">
        <v>31</v>
      </c>
      <c r="C41" t="n">
        <v>1</v>
      </c>
      <c r="G41" t="n">
        <v>38</v>
      </c>
      <c r="I41" t="n">
        <v>38.6</v>
      </c>
      <c r="K41" t="inlineStr">
        <is>
          <t>All ON</t>
        </is>
      </c>
    </row>
    <row r="51">
      <c r="L51">
        <f>1686.0-1680.8+(0/30*5.3)</f>
        <v/>
      </c>
      <c r="N51" t="n">
        <v>5.25</v>
      </c>
    </row>
    <row r="53">
      <c r="O53" t="n">
        <v>1</v>
      </c>
      <c r="P53" t="n">
        <v>0.95</v>
      </c>
      <c r="Q53" t="n">
        <v>1.18</v>
      </c>
      <c r="R53" t="n">
        <v>1.02</v>
      </c>
    </row>
    <row r="54">
      <c r="O54" t="n">
        <v>3.1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X54"/>
  <sheetViews>
    <sheetView workbookViewId="0">
      <selection activeCell="A1" sqref="A1"/>
    </sheetView>
  </sheetViews>
  <sheetFormatPr baseColWidth="8" defaultRowHeight="15"/>
  <sheetData>
    <row r="2">
      <c r="D2" t="inlineStr">
        <is>
          <t>Snapshot</t>
        </is>
      </c>
      <c r="E2" t="n">
        <v>2.12</v>
      </c>
      <c r="F2" t="n">
        <v>2.97</v>
      </c>
      <c r="G2" t="n">
        <v>2.49</v>
      </c>
      <c r="H2" t="n">
        <v>0</v>
      </c>
      <c r="I2" t="n">
        <v>0.74</v>
      </c>
      <c r="L2" t="inlineStr">
        <is>
          <t>31 May @ midnight</t>
        </is>
      </c>
    </row>
    <row r="3">
      <c r="D3" t="inlineStr">
        <is>
          <t>Snapshot</t>
        </is>
      </c>
      <c r="E3" t="n">
        <v>0.95</v>
      </c>
      <c r="F3" t="n">
        <v>1.78</v>
      </c>
      <c r="G3" t="n">
        <v>1.42</v>
      </c>
      <c r="H3" t="n">
        <v>0</v>
      </c>
      <c r="I3" t="n">
        <v>0.75</v>
      </c>
      <c r="L3" t="inlineStr">
        <is>
          <t>30 Jun @ 0915am</t>
        </is>
      </c>
    </row>
    <row r="6">
      <c r="A6" t="inlineStr">
        <is>
          <t>Month:</t>
        </is>
      </c>
      <c r="D6" t="inlineStr">
        <is>
          <t>June</t>
        </is>
      </c>
      <c r="E6" t="n">
        <v>2026</v>
      </c>
    </row>
    <row r="7">
      <c r="B7" t="inlineStr">
        <is>
          <t>Day</t>
        </is>
      </c>
      <c r="C7" t="inlineStr">
        <is>
          <t>Op</t>
        </is>
      </c>
      <c r="D7" t="inlineStr">
        <is>
          <t>Comments</t>
        </is>
      </c>
      <c r="F7" t="inlineStr">
        <is>
          <t>Error kL</t>
        </is>
      </c>
      <c r="G7" t="inlineStr">
        <is>
          <t>FIT0101 kL</t>
        </is>
      </c>
      <c r="I7" t="inlineStr">
        <is>
          <t>FIT0501 kL</t>
        </is>
      </c>
      <c r="K7" t="inlineStr">
        <is>
          <t>Bores</t>
        </is>
      </c>
      <c r="O7" t="inlineStr">
        <is>
          <t>AE pump grease</t>
        </is>
      </c>
      <c r="P7" t="inlineStr">
        <is>
          <t>Air compressor drain</t>
        </is>
      </c>
      <c r="Q7" t="inlineStr">
        <is>
          <t>Bag filter swap</t>
        </is>
      </c>
      <c r="R7" t="inlineStr">
        <is>
          <t>Dosing pump check</t>
        </is>
      </c>
      <c r="S7" t="inlineStr">
        <is>
          <t>pH probe calibration</t>
        </is>
      </c>
      <c r="T7" t="inlineStr">
        <is>
          <t>Flow meter verify</t>
        </is>
      </c>
      <c r="U7" t="inlineStr">
        <is>
          <t>Sight glass clean</t>
        </is>
      </c>
      <c r="V7" t="inlineStr">
        <is>
          <t>Cabinet filter</t>
        </is>
      </c>
      <c r="W7" t="inlineStr">
        <is>
          <t>Oil level check</t>
        </is>
      </c>
      <c r="X7" t="inlineStr">
        <is>
          <t>Alarm lamp test</t>
        </is>
      </c>
    </row>
    <row r="8">
      <c r="B8" t="n">
        <v>1</v>
      </c>
      <c r="C8" t="n">
        <v>1</v>
      </c>
      <c r="G8" t="n">
        <v>37.7</v>
      </c>
      <c r="I8" t="n">
        <v>36.5</v>
      </c>
      <c r="K8" t="inlineStr">
        <is>
          <t>All ON</t>
        </is>
      </c>
    </row>
    <row r="9">
      <c r="B9" t="n">
        <v>2</v>
      </c>
      <c r="C9" t="n">
        <v>1</v>
      </c>
      <c r="G9" t="n">
        <v>38.1</v>
      </c>
      <c r="I9" t="n">
        <v>38.3</v>
      </c>
      <c r="K9" t="inlineStr">
        <is>
          <t>All ON</t>
        </is>
      </c>
    </row>
    <row r="10">
      <c r="B10" t="n">
        <v>3</v>
      </c>
      <c r="C10" t="n">
        <v>1</v>
      </c>
      <c r="G10" t="n">
        <v>38.3</v>
      </c>
      <c r="I10" t="n">
        <v>39.9</v>
      </c>
      <c r="K10" t="inlineStr">
        <is>
          <t>All ON</t>
        </is>
      </c>
    </row>
    <row r="11">
      <c r="B11" t="n">
        <v>4</v>
      </c>
      <c r="C11" t="n">
        <v>1</v>
      </c>
      <c r="G11" t="n">
        <v>40.6</v>
      </c>
      <c r="I11" t="n">
        <v>41.7</v>
      </c>
      <c r="K11" t="inlineStr">
        <is>
          <t>All ON</t>
        </is>
      </c>
    </row>
    <row r="12">
      <c r="B12" t="n">
        <v>5</v>
      </c>
      <c r="C12" t="n">
        <v>1</v>
      </c>
      <c r="G12" t="n">
        <v>44.7</v>
      </c>
      <c r="I12" t="n">
        <v>45.9</v>
      </c>
      <c r="K12" t="inlineStr">
        <is>
          <t>All ON</t>
        </is>
      </c>
    </row>
    <row r="13">
      <c r="B13" t="n">
        <v>6</v>
      </c>
      <c r="C13" t="n">
        <v>1</v>
      </c>
      <c r="G13" t="n">
        <v>39.4</v>
      </c>
      <c r="I13" t="n">
        <v>40.6</v>
      </c>
      <c r="K13" t="inlineStr">
        <is>
          <t>All ON</t>
        </is>
      </c>
    </row>
    <row r="14">
      <c r="B14" t="n">
        <v>7</v>
      </c>
      <c r="C14" t="n">
        <v>1</v>
      </c>
      <c r="G14" t="n">
        <v>41.3</v>
      </c>
      <c r="I14" t="n">
        <v>42.2</v>
      </c>
      <c r="K14" t="inlineStr">
        <is>
          <t>All ON</t>
        </is>
      </c>
    </row>
    <row r="15">
      <c r="B15" t="n">
        <v>8</v>
      </c>
      <c r="C15" t="n">
        <v>1</v>
      </c>
      <c r="G15" t="n">
        <v>41.2</v>
      </c>
      <c r="I15" t="n">
        <v>41.3</v>
      </c>
      <c r="K15" t="inlineStr">
        <is>
          <t>All ON</t>
        </is>
      </c>
    </row>
    <row r="16">
      <c r="B16" t="n">
        <v>9</v>
      </c>
      <c r="C16" t="n">
        <v>1</v>
      </c>
      <c r="D16" t="inlineStr">
        <is>
          <t>Greased AE pump, all normal</t>
        </is>
      </c>
      <c r="G16" t="n">
        <v>41.2</v>
      </c>
      <c r="I16" t="n">
        <v>42</v>
      </c>
      <c r="K16" t="inlineStr">
        <is>
          <t>All ON</t>
        </is>
      </c>
      <c r="R16" s="1" t="n">
        <v>46182.375</v>
      </c>
    </row>
    <row r="17">
      <c r="B17" t="n">
        <v>10</v>
      </c>
      <c r="C17" t="n">
        <v>1</v>
      </c>
      <c r="G17" t="n">
        <v>45.2</v>
      </c>
      <c r="I17" t="n">
        <v>46.5</v>
      </c>
      <c r="K17" t="inlineStr">
        <is>
          <t>All ON</t>
        </is>
      </c>
    </row>
    <row r="18">
      <c r="B18" t="n">
        <v>11</v>
      </c>
      <c r="C18" t="n">
        <v>1</v>
      </c>
      <c r="G18" t="n">
        <v>44</v>
      </c>
      <c r="I18" t="n">
        <v>45.3</v>
      </c>
      <c r="K18" t="inlineStr">
        <is>
          <t>All ON</t>
        </is>
      </c>
    </row>
    <row r="19">
      <c r="B19" t="n">
        <v>12</v>
      </c>
      <c r="C19" t="n">
        <v>1</v>
      </c>
      <c r="D19" t="inlineStr">
        <is>
          <t>Sample run collected</t>
        </is>
      </c>
      <c r="G19" t="n">
        <v>43.6</v>
      </c>
      <c r="I19" t="n">
        <v>44.3</v>
      </c>
      <c r="K19" t="inlineStr">
        <is>
          <t>All ON</t>
        </is>
      </c>
      <c r="S19" s="1" t="n">
        <v>46185.375</v>
      </c>
    </row>
    <row r="20">
      <c r="B20" t="n">
        <v>13</v>
      </c>
      <c r="C20" t="n">
        <v>1</v>
      </c>
      <c r="G20" t="n">
        <v>37.5</v>
      </c>
      <c r="I20" t="n">
        <v>37.1</v>
      </c>
      <c r="K20" t="inlineStr">
        <is>
          <t>All ON</t>
        </is>
      </c>
    </row>
    <row r="21">
      <c r="B21" t="n">
        <v>14</v>
      </c>
      <c r="C21" t="n">
        <v>1</v>
      </c>
      <c r="G21" t="n">
        <v>42.2</v>
      </c>
      <c r="I21" t="n">
        <v>43.8</v>
      </c>
      <c r="K21" t="inlineStr">
        <is>
          <t>All ON</t>
        </is>
      </c>
    </row>
    <row r="22">
      <c r="B22" t="n">
        <v>15</v>
      </c>
      <c r="C22" t="n">
        <v>1</v>
      </c>
      <c r="G22" t="n">
        <v>40.1</v>
      </c>
      <c r="I22" t="n">
        <v>39.4</v>
      </c>
      <c r="K22" t="inlineStr">
        <is>
          <t>All ON</t>
        </is>
      </c>
    </row>
    <row r="23">
      <c r="B23" t="n">
        <v>16</v>
      </c>
      <c r="C23" t="n">
        <v>1</v>
      </c>
      <c r="G23" t="n">
        <v>43.8</v>
      </c>
      <c r="I23" t="n">
        <v>44.2</v>
      </c>
      <c r="K23" t="inlineStr">
        <is>
          <t>All ON</t>
        </is>
      </c>
    </row>
    <row r="24">
      <c r="B24" t="n">
        <v>17</v>
      </c>
      <c r="C24" t="n">
        <v>1</v>
      </c>
      <c r="G24" t="n">
        <v>39.1</v>
      </c>
      <c r="I24" t="n">
        <v>38</v>
      </c>
      <c r="K24" t="inlineStr">
        <is>
          <t>All ON</t>
        </is>
      </c>
    </row>
    <row r="25">
      <c r="B25" t="n">
        <v>18</v>
      </c>
      <c r="C25" t="n">
        <v>1</v>
      </c>
      <c r="G25" t="n">
        <v>39.6</v>
      </c>
      <c r="I25" t="n">
        <v>40.8</v>
      </c>
      <c r="K25" t="inlineStr">
        <is>
          <t>All ON</t>
        </is>
      </c>
    </row>
    <row r="26">
      <c r="B26" t="n">
        <v>19</v>
      </c>
      <c r="C26" t="n">
        <v>1</v>
      </c>
      <c r="G26" t="n">
        <v>38.5</v>
      </c>
      <c r="I26" t="n">
        <v>38.4</v>
      </c>
      <c r="K26" t="inlineStr">
        <is>
          <t>All ON</t>
        </is>
      </c>
    </row>
    <row r="27">
      <c r="B27" t="n">
        <v>20</v>
      </c>
      <c r="C27" t="n">
        <v>1</v>
      </c>
      <c r="D27" t="inlineStr">
        <is>
          <t>Sample run collected</t>
        </is>
      </c>
      <c r="G27" t="n">
        <v>41.5</v>
      </c>
      <c r="I27" t="n">
        <v>40.4</v>
      </c>
      <c r="K27" t="inlineStr">
        <is>
          <t>All ON</t>
        </is>
      </c>
    </row>
    <row r="28">
      <c r="B28" t="n">
        <v>21</v>
      </c>
      <c r="C28" t="n">
        <v>1</v>
      </c>
      <c r="G28" t="n">
        <v>39.6</v>
      </c>
      <c r="I28" t="n">
        <v>41.4</v>
      </c>
      <c r="K28" t="inlineStr">
        <is>
          <t>All ON</t>
        </is>
      </c>
    </row>
    <row r="29">
      <c r="B29" t="n">
        <v>22</v>
      </c>
      <c r="C29" t="n">
        <v>1</v>
      </c>
      <c r="G29" t="n">
        <v>42</v>
      </c>
      <c r="I29" t="n">
        <v>42.1</v>
      </c>
      <c r="K29" t="inlineStr">
        <is>
          <t>All ON</t>
        </is>
      </c>
    </row>
    <row r="30">
      <c r="B30" t="n">
        <v>23</v>
      </c>
      <c r="C30" t="n">
        <v>1</v>
      </c>
      <c r="G30" t="n">
        <v>42</v>
      </c>
      <c r="I30" t="n">
        <v>42.7</v>
      </c>
      <c r="K30" t="inlineStr">
        <is>
          <t>All ON</t>
        </is>
      </c>
    </row>
    <row r="31">
      <c r="B31" t="n">
        <v>24</v>
      </c>
      <c r="C31" t="n">
        <v>1</v>
      </c>
      <c r="G31" t="n">
        <v>35.7</v>
      </c>
      <c r="I31" t="n">
        <v>35.2</v>
      </c>
      <c r="K31" t="inlineStr">
        <is>
          <t>All ON</t>
        </is>
      </c>
      <c r="X31" s="1" t="n">
        <v>46197.375</v>
      </c>
    </row>
    <row r="32">
      <c r="B32" t="n">
        <v>25</v>
      </c>
      <c r="C32" t="n">
        <v>1</v>
      </c>
      <c r="G32" t="n">
        <v>44.5</v>
      </c>
      <c r="I32" t="n">
        <v>44.2</v>
      </c>
      <c r="K32" t="inlineStr">
        <is>
          <t>All ON</t>
        </is>
      </c>
    </row>
    <row r="33">
      <c r="B33" t="n">
        <v>26</v>
      </c>
      <c r="C33" t="n">
        <v>1</v>
      </c>
      <c r="G33" t="n">
        <v>34</v>
      </c>
      <c r="I33" t="n">
        <v>35.5</v>
      </c>
      <c r="K33" t="inlineStr">
        <is>
          <t>All ON</t>
        </is>
      </c>
    </row>
    <row r="34">
      <c r="B34" t="n">
        <v>27</v>
      </c>
      <c r="C34" t="n">
        <v>1</v>
      </c>
      <c r="G34" t="n">
        <v>39.8</v>
      </c>
      <c r="I34" t="n">
        <v>39.8</v>
      </c>
      <c r="K34" t="inlineStr">
        <is>
          <t>All ON</t>
        </is>
      </c>
    </row>
    <row r="35">
      <c r="B35" t="n">
        <v>28</v>
      </c>
      <c r="C35" t="n">
        <v>1</v>
      </c>
      <c r="G35" t="n">
        <v>39.6</v>
      </c>
      <c r="I35" t="n">
        <v>40.8</v>
      </c>
      <c r="K35" t="inlineStr">
        <is>
          <t>All ON</t>
        </is>
      </c>
    </row>
    <row r="36">
      <c r="B36" t="n">
        <v>29</v>
      </c>
      <c r="C36" t="n">
        <v>1</v>
      </c>
      <c r="G36" t="n">
        <v>35.2</v>
      </c>
      <c r="I36" t="n">
        <v>36.1</v>
      </c>
      <c r="K36" t="inlineStr">
        <is>
          <t>All ON</t>
        </is>
      </c>
    </row>
    <row r="37">
      <c r="B37" t="n">
        <v>30</v>
      </c>
      <c r="C37" t="n">
        <v>1</v>
      </c>
      <c r="G37" t="n">
        <v>42.3</v>
      </c>
      <c r="I37" t="n">
        <v>43.7</v>
      </c>
      <c r="K37" t="inlineStr">
        <is>
          <t>All ON</t>
        </is>
      </c>
    </row>
    <row r="51">
      <c r="L51">
        <f>1690.7-1686.0+(0/30*5.3)</f>
        <v/>
      </c>
      <c r="N51" t="n">
        <v>5.25</v>
      </c>
    </row>
    <row r="53">
      <c r="O53" t="n">
        <v>1</v>
      </c>
      <c r="P53" t="n">
        <v>0.95</v>
      </c>
      <c r="Q53" t="n">
        <v>1.18</v>
      </c>
      <c r="R53" t="n">
        <v>1.02</v>
      </c>
    </row>
    <row r="54">
      <c r="O54" t="n">
        <v>3.1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X54"/>
  <sheetViews>
    <sheetView workbookViewId="0">
      <selection activeCell="A1" sqref="A1"/>
    </sheetView>
  </sheetViews>
  <sheetFormatPr baseColWidth="8" defaultRowHeight="15"/>
  <sheetData>
    <row r="2">
      <c r="D2" t="inlineStr">
        <is>
          <t>Snapshot</t>
        </is>
      </c>
      <c r="E2" t="n">
        <v>0.95</v>
      </c>
      <c r="F2" t="n">
        <v>1.78</v>
      </c>
      <c r="G2" t="n">
        <v>1.42</v>
      </c>
      <c r="H2" t="n">
        <v>0</v>
      </c>
      <c r="I2" t="n">
        <v>0.75</v>
      </c>
      <c r="L2" t="inlineStr">
        <is>
          <t>30 Jun @ 0915am</t>
        </is>
      </c>
    </row>
    <row r="3">
      <c r="D3" t="inlineStr">
        <is>
          <t>Snapshot</t>
        </is>
      </c>
      <c r="E3" t="n">
        <v>1.23</v>
      </c>
      <c r="F3" t="n">
        <v>2.15</v>
      </c>
      <c r="G3" t="n">
        <v>1.63</v>
      </c>
      <c r="H3" t="n">
        <v>0</v>
      </c>
      <c r="I3" t="n">
        <v>0.78</v>
      </c>
      <c r="L3" t="inlineStr">
        <is>
          <t>31 Jul @ midnight</t>
        </is>
      </c>
    </row>
    <row r="6">
      <c r="A6" t="inlineStr">
        <is>
          <t>Month:</t>
        </is>
      </c>
      <c r="D6" t="inlineStr">
        <is>
          <t>July</t>
        </is>
      </c>
      <c r="E6" t="n">
        <v>2026</v>
      </c>
    </row>
    <row r="7">
      <c r="B7" t="inlineStr">
        <is>
          <t>Day</t>
        </is>
      </c>
      <c r="C7" t="inlineStr">
        <is>
          <t>Op</t>
        </is>
      </c>
      <c r="D7" t="inlineStr">
        <is>
          <t>Comments</t>
        </is>
      </c>
      <c r="F7" t="inlineStr">
        <is>
          <t>Error kL</t>
        </is>
      </c>
      <c r="G7" t="inlineStr">
        <is>
          <t>FIT0101 kL</t>
        </is>
      </c>
      <c r="I7" t="inlineStr">
        <is>
          <t>FIT0501 kL</t>
        </is>
      </c>
      <c r="K7" t="inlineStr">
        <is>
          <t>Bores</t>
        </is>
      </c>
      <c r="O7" t="inlineStr">
        <is>
          <t>AE pump grease</t>
        </is>
      </c>
      <c r="P7" t="inlineStr">
        <is>
          <t>Air compressor drain</t>
        </is>
      </c>
      <c r="Q7" t="inlineStr">
        <is>
          <t>Bag filter swap</t>
        </is>
      </c>
      <c r="R7" t="inlineStr">
        <is>
          <t>Dosing pump check</t>
        </is>
      </c>
      <c r="S7" t="inlineStr">
        <is>
          <t>pH probe calibration</t>
        </is>
      </c>
      <c r="T7" t="inlineStr">
        <is>
          <t>Flow meter verify</t>
        </is>
      </c>
      <c r="U7" t="inlineStr">
        <is>
          <t>Sight glass clean</t>
        </is>
      </c>
      <c r="V7" t="inlineStr">
        <is>
          <t>Cabinet filter</t>
        </is>
      </c>
      <c r="W7" t="inlineStr">
        <is>
          <t>Oil level check</t>
        </is>
      </c>
      <c r="X7" t="inlineStr">
        <is>
          <t>Alarm lamp test</t>
        </is>
      </c>
    </row>
    <row r="12">
      <c r="B12" t="n">
        <v>1</v>
      </c>
      <c r="C12" t="n">
        <v>1</v>
      </c>
      <c r="G12" t="n">
        <v>44</v>
      </c>
      <c r="I12" t="n">
        <v>42.9</v>
      </c>
      <c r="K12" t="inlineStr">
        <is>
          <t>All ON</t>
        </is>
      </c>
    </row>
    <row r="13">
      <c r="B13" t="n">
        <v>2</v>
      </c>
      <c r="C13" t="n">
        <v>1</v>
      </c>
      <c r="G13" t="n">
        <v>44.7</v>
      </c>
      <c r="I13" t="n">
        <v>45.5</v>
      </c>
      <c r="K13" t="inlineStr">
        <is>
          <t>All ON</t>
        </is>
      </c>
    </row>
    <row r="14">
      <c r="B14" t="n">
        <v>3</v>
      </c>
      <c r="C14" t="n">
        <v>1</v>
      </c>
      <c r="G14" t="n">
        <v>37.1</v>
      </c>
      <c r="I14" t="n">
        <v>37.3</v>
      </c>
      <c r="K14" t="inlineStr">
        <is>
          <t>All ON</t>
        </is>
      </c>
    </row>
    <row r="15">
      <c r="B15" t="n">
        <v>4</v>
      </c>
      <c r="C15" t="n">
        <v>1</v>
      </c>
      <c r="G15" t="n">
        <v>42.9</v>
      </c>
      <c r="I15" t="n">
        <v>44.2</v>
      </c>
      <c r="K15" t="inlineStr">
        <is>
          <t>All ON</t>
        </is>
      </c>
    </row>
    <row r="16">
      <c r="B16" t="n">
        <v>5</v>
      </c>
      <c r="C16" t="n">
        <v>1</v>
      </c>
      <c r="G16" t="n">
        <v>35.5</v>
      </c>
      <c r="I16" t="n">
        <v>36.3</v>
      </c>
      <c r="K16" t="inlineStr">
        <is>
          <t>All ON</t>
        </is>
      </c>
    </row>
    <row r="17">
      <c r="B17" t="n">
        <v>6</v>
      </c>
      <c r="C17" t="n">
        <v>1</v>
      </c>
      <c r="G17" t="n">
        <v>35.2</v>
      </c>
      <c r="I17" t="n">
        <v>37.1</v>
      </c>
      <c r="K17" t="inlineStr">
        <is>
          <t>All ON</t>
        </is>
      </c>
      <c r="O17" s="1" t="n">
        <v>46209.375</v>
      </c>
    </row>
    <row r="18">
      <c r="B18" t="n">
        <v>7</v>
      </c>
      <c r="C18" t="n">
        <v>1</v>
      </c>
      <c r="G18" t="n">
        <v>38.8</v>
      </c>
      <c r="I18" t="n">
        <v>40.5</v>
      </c>
      <c r="K18" t="inlineStr">
        <is>
          <t>All ON</t>
        </is>
      </c>
    </row>
    <row r="19">
      <c r="B19" t="n">
        <v>8</v>
      </c>
      <c r="C19" t="n">
        <v>1</v>
      </c>
      <c r="G19" t="n">
        <v>42.5</v>
      </c>
      <c r="I19" t="n">
        <v>43.2</v>
      </c>
      <c r="K19" t="inlineStr">
        <is>
          <t>All ON</t>
        </is>
      </c>
    </row>
    <row r="20">
      <c r="B20" t="n">
        <v>9</v>
      </c>
      <c r="C20" t="n">
        <v>1</v>
      </c>
      <c r="G20" t="n">
        <v>36.4</v>
      </c>
      <c r="I20" t="n">
        <v>36.9</v>
      </c>
      <c r="K20" t="inlineStr">
        <is>
          <t>All ON</t>
        </is>
      </c>
    </row>
    <row r="21">
      <c r="B21" t="n">
        <v>10</v>
      </c>
      <c r="C21" t="n">
        <v>1</v>
      </c>
      <c r="G21" t="n">
        <v>34.8</v>
      </c>
      <c r="I21" t="n">
        <v>34</v>
      </c>
      <c r="K21" t="inlineStr">
        <is>
          <t>All ON</t>
        </is>
      </c>
    </row>
    <row r="22">
      <c r="B22" t="n">
        <v>11</v>
      </c>
      <c r="C22" t="n">
        <v>1</v>
      </c>
      <c r="D22" t="inlineStr">
        <is>
          <t>Greased AE pump, all normal</t>
        </is>
      </c>
      <c r="G22" t="n">
        <v>42.3</v>
      </c>
      <c r="I22" t="n">
        <v>42.3</v>
      </c>
      <c r="K22" t="inlineStr">
        <is>
          <t>All ON</t>
        </is>
      </c>
    </row>
    <row r="23">
      <c r="B23" t="n">
        <v>12</v>
      </c>
      <c r="C23" t="n">
        <v>1</v>
      </c>
      <c r="G23" t="n">
        <v>42.8</v>
      </c>
      <c r="I23" t="n">
        <v>42.4</v>
      </c>
      <c r="K23" t="inlineStr">
        <is>
          <t>All ON</t>
        </is>
      </c>
    </row>
    <row r="24">
      <c r="B24" t="n">
        <v>13</v>
      </c>
      <c r="C24" t="n">
        <v>1</v>
      </c>
      <c r="G24" t="n">
        <v>42.3</v>
      </c>
      <c r="I24" t="n">
        <v>43.4</v>
      </c>
      <c r="K24" t="inlineStr">
        <is>
          <t>All ON</t>
        </is>
      </c>
    </row>
    <row r="25">
      <c r="B25" t="n">
        <v>14</v>
      </c>
      <c r="C25" t="n">
        <v>1</v>
      </c>
      <c r="G25" t="n">
        <v>37</v>
      </c>
      <c r="I25" t="n">
        <v>36.1</v>
      </c>
      <c r="K25" t="inlineStr">
        <is>
          <t>All ON</t>
        </is>
      </c>
    </row>
    <row r="26">
      <c r="B26" t="n">
        <v>15</v>
      </c>
      <c r="C26" t="n">
        <v>1</v>
      </c>
      <c r="G26" t="n">
        <v>38.2</v>
      </c>
      <c r="I26" t="n">
        <v>38.6</v>
      </c>
      <c r="K26" t="inlineStr">
        <is>
          <t>All ON</t>
        </is>
      </c>
    </row>
    <row r="27">
      <c r="B27" t="n">
        <v>16</v>
      </c>
      <c r="C27" t="n">
        <v>1</v>
      </c>
      <c r="D27" t="inlineStr">
        <is>
          <t>Heavy rain overnight, no issues</t>
        </is>
      </c>
      <c r="G27" t="n">
        <v>34.3</v>
      </c>
      <c r="I27" t="n">
        <v>33.7</v>
      </c>
      <c r="K27" t="inlineStr">
        <is>
          <t>All ON</t>
        </is>
      </c>
    </row>
    <row r="28">
      <c r="B28" t="n">
        <v>17</v>
      </c>
      <c r="C28" t="n">
        <v>1</v>
      </c>
      <c r="G28" t="n">
        <v>33.7</v>
      </c>
      <c r="I28" t="n">
        <v>34.4</v>
      </c>
      <c r="K28" t="inlineStr">
        <is>
          <t>All ON</t>
        </is>
      </c>
    </row>
    <row r="29">
      <c r="B29" t="n">
        <v>18</v>
      </c>
      <c r="C29" t="n">
        <v>1</v>
      </c>
      <c r="G29" t="n">
        <v>44.6</v>
      </c>
      <c r="I29" t="n">
        <v>44.1</v>
      </c>
      <c r="K29" t="inlineStr">
        <is>
          <t>All ON</t>
        </is>
      </c>
    </row>
    <row r="30">
      <c r="B30" t="n">
        <v>19</v>
      </c>
      <c r="C30" t="n">
        <v>1</v>
      </c>
      <c r="G30" t="n">
        <v>33.5</v>
      </c>
      <c r="I30" t="n">
        <v>34.6</v>
      </c>
      <c r="K30" t="inlineStr">
        <is>
          <t>All ON</t>
        </is>
      </c>
    </row>
    <row r="31">
      <c r="B31" t="n">
        <v>20</v>
      </c>
      <c r="C31" t="n">
        <v>1</v>
      </c>
      <c r="G31" t="n">
        <v>43.6</v>
      </c>
      <c r="I31" t="n">
        <v>45.5</v>
      </c>
      <c r="K31" t="inlineStr">
        <is>
          <t>All ON</t>
        </is>
      </c>
    </row>
    <row r="32">
      <c r="B32" t="n">
        <v>21</v>
      </c>
      <c r="C32" t="n">
        <v>1</v>
      </c>
      <c r="G32" t="n">
        <v>41</v>
      </c>
      <c r="I32" t="n">
        <v>40.9</v>
      </c>
      <c r="K32" t="inlineStr">
        <is>
          <t>All ON</t>
        </is>
      </c>
    </row>
    <row r="33">
      <c r="B33" t="n">
        <v>22</v>
      </c>
      <c r="C33" t="n">
        <v>1</v>
      </c>
      <c r="G33" t="n">
        <v>43.9</v>
      </c>
      <c r="I33" t="n">
        <v>43.1</v>
      </c>
      <c r="K33" t="inlineStr">
        <is>
          <t>All ON</t>
        </is>
      </c>
    </row>
    <row r="34">
      <c r="B34" t="n">
        <v>23</v>
      </c>
      <c r="C34" t="n">
        <v>1</v>
      </c>
      <c r="G34" t="n">
        <v>42</v>
      </c>
      <c r="I34" t="n">
        <v>41.1</v>
      </c>
      <c r="K34" t="inlineStr">
        <is>
          <t>All ON</t>
        </is>
      </c>
    </row>
    <row r="35">
      <c r="B35" t="n">
        <v>24</v>
      </c>
      <c r="C35" t="n">
        <v>1</v>
      </c>
      <c r="G35" t="n">
        <v>38.2</v>
      </c>
      <c r="I35" t="n">
        <v>38.6</v>
      </c>
      <c r="K35" t="inlineStr">
        <is>
          <t>All ON</t>
        </is>
      </c>
    </row>
    <row r="36">
      <c r="B36" t="n">
        <v>25</v>
      </c>
      <c r="C36" t="n">
        <v>1</v>
      </c>
      <c r="G36" t="n">
        <v>37.9</v>
      </c>
      <c r="I36" t="n">
        <v>37.2</v>
      </c>
      <c r="K36" t="inlineStr">
        <is>
          <t>All ON</t>
        </is>
      </c>
    </row>
    <row r="37">
      <c r="B37" t="n">
        <v>26</v>
      </c>
      <c r="C37" t="n">
        <v>1</v>
      </c>
      <c r="G37" t="n">
        <v>36</v>
      </c>
      <c r="I37" t="n">
        <v>37.4</v>
      </c>
      <c r="K37" t="inlineStr">
        <is>
          <t>All ON</t>
        </is>
      </c>
    </row>
    <row r="38">
      <c r="B38" t="n">
        <v>27</v>
      </c>
      <c r="C38" t="n">
        <v>1</v>
      </c>
      <c r="G38" t="n">
        <v>39</v>
      </c>
      <c r="I38" t="n">
        <v>39.7</v>
      </c>
      <c r="K38" t="inlineStr">
        <is>
          <t>All ON</t>
        </is>
      </c>
      <c r="O38" s="1" t="n">
        <v>46230.375</v>
      </c>
    </row>
    <row r="39">
      <c r="B39" t="n">
        <v>28</v>
      </c>
      <c r="C39" t="n">
        <v>1</v>
      </c>
      <c r="D39" t="inlineStr">
        <is>
          <t>Sample run collected</t>
        </is>
      </c>
      <c r="G39" t="n">
        <v>35.8</v>
      </c>
      <c r="I39" t="n">
        <v>36.9</v>
      </c>
      <c r="K39" t="inlineStr">
        <is>
          <t>All ON</t>
        </is>
      </c>
    </row>
    <row r="40">
      <c r="B40" t="n">
        <v>29</v>
      </c>
      <c r="C40" t="n">
        <v>1</v>
      </c>
      <c r="G40" t="n">
        <v>37.3</v>
      </c>
      <c r="I40" t="n">
        <v>38</v>
      </c>
      <c r="K40" t="inlineStr">
        <is>
          <t>All ON</t>
        </is>
      </c>
    </row>
    <row r="41">
      <c r="B41" t="n">
        <v>30</v>
      </c>
      <c r="C41" t="n">
        <v>1</v>
      </c>
      <c r="G41" t="n">
        <v>44.8</v>
      </c>
      <c r="I41" t="n">
        <v>46.8</v>
      </c>
      <c r="K41" t="inlineStr">
        <is>
          <t>All ON</t>
        </is>
      </c>
    </row>
    <row r="42">
      <c r="B42" t="n">
        <v>31</v>
      </c>
      <c r="C42" t="n">
        <v>1</v>
      </c>
      <c r="G42" t="n">
        <v>33.6</v>
      </c>
      <c r="I42" t="n">
        <v>35</v>
      </c>
      <c r="K42" t="inlineStr">
        <is>
          <t>All ON</t>
        </is>
      </c>
      <c r="U42" s="1" t="n">
        <v>46234.375</v>
      </c>
    </row>
    <row r="51">
      <c r="L51">
        <f>1696.2-1690.7+(0/30*5.3)</f>
        <v/>
      </c>
      <c r="N51" t="n">
        <v>5.25</v>
      </c>
    </row>
    <row r="53">
      <c r="O53" t="n">
        <v>1</v>
      </c>
      <c r="P53" t="n">
        <v>0.95</v>
      </c>
      <c r="Q53" t="n">
        <v>1.18</v>
      </c>
      <c r="R53" t="n">
        <v>1.02</v>
      </c>
    </row>
    <row r="54">
      <c r="O54" t="n">
        <v>3.1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X54"/>
  <sheetViews>
    <sheetView workbookViewId="0">
      <selection activeCell="A1" sqref="A1"/>
    </sheetView>
  </sheetViews>
  <sheetFormatPr baseColWidth="8" defaultRowHeight="15"/>
  <sheetData>
    <row r="2">
      <c r="D2" t="inlineStr">
        <is>
          <t>Snapshot</t>
        </is>
      </c>
      <c r="E2" t="n">
        <v>1.23</v>
      </c>
      <c r="F2" t="n">
        <v>2.15</v>
      </c>
      <c r="G2" t="n">
        <v>1.63</v>
      </c>
      <c r="H2" t="n">
        <v>0</v>
      </c>
      <c r="I2" t="n">
        <v>0.78</v>
      </c>
      <c r="L2" t="inlineStr">
        <is>
          <t>31 Jul @ midnight</t>
        </is>
      </c>
    </row>
    <row r="3">
      <c r="D3" t="inlineStr">
        <is>
          <t>Snapshot</t>
        </is>
      </c>
      <c r="E3" t="n">
        <v>2.65</v>
      </c>
      <c r="F3" t="n">
        <v>4.07</v>
      </c>
      <c r="G3" t="n">
        <v>3.28</v>
      </c>
      <c r="H3" t="n">
        <v>0</v>
      </c>
      <c r="I3" t="n">
        <v>1.85</v>
      </c>
      <c r="L3" t="inlineStr">
        <is>
          <t>14 Aug @ 0930am</t>
        </is>
      </c>
    </row>
    <row r="6">
      <c r="A6" t="inlineStr">
        <is>
          <t>Month:</t>
        </is>
      </c>
      <c r="D6" t="inlineStr">
        <is>
          <t>August</t>
        </is>
      </c>
      <c r="E6" t="n">
        <v>2026</v>
      </c>
    </row>
    <row r="7">
      <c r="B7" t="inlineStr">
        <is>
          <t>Day</t>
        </is>
      </c>
      <c r="C7" t="inlineStr">
        <is>
          <t>Op</t>
        </is>
      </c>
      <c r="D7" t="inlineStr">
        <is>
          <t>Comments</t>
        </is>
      </c>
      <c r="F7" t="inlineStr">
        <is>
          <t>Error kL</t>
        </is>
      </c>
      <c r="G7" t="inlineStr">
        <is>
          <t>FIT0101 kL</t>
        </is>
      </c>
      <c r="I7" t="inlineStr">
        <is>
          <t>FIT0501 kL</t>
        </is>
      </c>
      <c r="K7" t="inlineStr">
        <is>
          <t>Bores</t>
        </is>
      </c>
      <c r="O7" t="inlineStr">
        <is>
          <t>AE pump grease</t>
        </is>
      </c>
      <c r="P7" t="inlineStr">
        <is>
          <t>Air compressor drain</t>
        </is>
      </c>
      <c r="Q7" t="inlineStr">
        <is>
          <t>Bag filter swap</t>
        </is>
      </c>
      <c r="R7" t="inlineStr">
        <is>
          <t>Dosing pump check</t>
        </is>
      </c>
      <c r="S7" t="inlineStr">
        <is>
          <t>pH probe calibration</t>
        </is>
      </c>
      <c r="T7" t="inlineStr">
        <is>
          <t>Flow meter verify</t>
        </is>
      </c>
      <c r="U7" t="inlineStr">
        <is>
          <t>Sight glass clean</t>
        </is>
      </c>
      <c r="V7" t="inlineStr">
        <is>
          <t>Cabinet filter</t>
        </is>
      </c>
      <c r="W7" t="inlineStr">
        <is>
          <t>Oil level check</t>
        </is>
      </c>
      <c r="X7" t="inlineStr">
        <is>
          <t>Alarm lamp test</t>
        </is>
      </c>
    </row>
    <row r="10">
      <c r="B10" t="n">
        <v>1</v>
      </c>
      <c r="C10" t="n">
        <v>1</v>
      </c>
      <c r="G10" t="n">
        <v>34.9</v>
      </c>
      <c r="I10" t="n">
        <v>35.8</v>
      </c>
      <c r="K10" t="inlineStr">
        <is>
          <t>All ON</t>
        </is>
      </c>
    </row>
    <row r="11">
      <c r="B11" t="n">
        <v>2</v>
      </c>
      <c r="C11" t="n">
        <v>1</v>
      </c>
      <c r="G11" t="n">
        <v>33.7</v>
      </c>
      <c r="I11" t="n">
        <v>33.7</v>
      </c>
      <c r="K11" t="inlineStr">
        <is>
          <t>All ON</t>
        </is>
      </c>
    </row>
    <row r="12">
      <c r="B12" t="n">
        <v>3</v>
      </c>
      <c r="C12" t="n">
        <v>1</v>
      </c>
      <c r="D12" t="inlineStr">
        <is>
          <t>s.v - routine site check</t>
        </is>
      </c>
      <c r="G12" t="n">
        <v>34.7</v>
      </c>
      <c r="I12" t="n">
        <v>35</v>
      </c>
      <c r="K12" t="inlineStr">
        <is>
          <t>All ON</t>
        </is>
      </c>
    </row>
    <row r="13">
      <c r="B13" t="n">
        <v>4</v>
      </c>
      <c r="C13" t="n">
        <v>1</v>
      </c>
      <c r="G13" t="n">
        <v>43.9</v>
      </c>
      <c r="I13" t="n">
        <v>45.6</v>
      </c>
      <c r="K13" t="inlineStr">
        <is>
          <t>All ON</t>
        </is>
      </c>
    </row>
    <row r="14">
      <c r="B14" t="n">
        <v>5</v>
      </c>
      <c r="C14" t="n">
        <v>1</v>
      </c>
      <c r="G14" t="n">
        <v>33.5</v>
      </c>
      <c r="I14" t="n">
        <v>32.5</v>
      </c>
      <c r="K14" t="inlineStr">
        <is>
          <t>All ON</t>
        </is>
      </c>
    </row>
    <row r="15">
      <c r="B15" t="n">
        <v>6</v>
      </c>
      <c r="C15" t="n">
        <v>1</v>
      </c>
      <c r="D15" t="inlineStr">
        <is>
          <t>Tanker top-up delivery 2.5 kL (see adjustments)</t>
        </is>
      </c>
      <c r="G15" t="n">
        <v>43.9</v>
      </c>
      <c r="I15" t="n">
        <v>42.8</v>
      </c>
      <c r="K15" t="inlineStr">
        <is>
          <t>All ON</t>
        </is>
      </c>
    </row>
    <row r="16">
      <c r="B16" t="n">
        <v>7</v>
      </c>
      <c r="C16" t="n">
        <v>1</v>
      </c>
      <c r="D16" t="inlineStr">
        <is>
          <t>Heavy rain overnight, no issues</t>
        </is>
      </c>
      <c r="G16" t="n">
        <v>36.6</v>
      </c>
      <c r="I16" t="n">
        <v>35.8</v>
      </c>
      <c r="K16" t="inlineStr">
        <is>
          <t>All ON</t>
        </is>
      </c>
    </row>
    <row r="17">
      <c r="B17" t="n">
        <v>8</v>
      </c>
      <c r="C17" t="n">
        <v>1</v>
      </c>
      <c r="G17" t="n">
        <v>34.2</v>
      </c>
      <c r="I17" t="n">
        <v>33.1</v>
      </c>
      <c r="K17" t="inlineStr">
        <is>
          <t>All ON</t>
        </is>
      </c>
      <c r="S17" s="1" t="n">
        <v>46242.375</v>
      </c>
    </row>
    <row r="18">
      <c r="B18" t="n">
        <v>9</v>
      </c>
      <c r="C18" t="n">
        <v>1</v>
      </c>
      <c r="D18" t="inlineStr">
        <is>
          <t>PLC freeze overnight - day total back-filled from SCADA report</t>
        </is>
      </c>
      <c r="G18" t="n">
        <v>41.3</v>
      </c>
      <c r="I18" t="n">
        <v>42.5</v>
      </c>
      <c r="K18" t="inlineStr">
        <is>
          <t>All ON</t>
        </is>
      </c>
    </row>
    <row r="19">
      <c r="B19" t="n">
        <v>10</v>
      </c>
      <c r="C19" t="n">
        <v>1</v>
      </c>
      <c r="G19" t="n">
        <v>41.9</v>
      </c>
      <c r="I19" t="n">
        <v>43.4</v>
      </c>
      <c r="K19" t="inlineStr">
        <is>
          <t>All ON</t>
        </is>
      </c>
      <c r="P19" s="1" t="n">
        <v>46244.375</v>
      </c>
    </row>
    <row r="20">
      <c r="B20" t="n">
        <v>11</v>
      </c>
      <c r="C20" t="n">
        <v>1</v>
      </c>
      <c r="G20" t="n">
        <v>41.6</v>
      </c>
      <c r="I20" t="n">
        <v>41.6</v>
      </c>
      <c r="K20" t="inlineStr">
        <is>
          <t>All ON</t>
        </is>
      </c>
    </row>
    <row r="21">
      <c r="B21" t="n">
        <v>12</v>
      </c>
      <c r="C21" t="n">
        <v>1</v>
      </c>
      <c r="D21" t="inlineStr">
        <is>
          <t>Sample run collected</t>
        </is>
      </c>
      <c r="G21" t="n">
        <v>41.2</v>
      </c>
      <c r="I21" t="n">
        <v>43.1</v>
      </c>
      <c r="K21" t="inlineStr">
        <is>
          <t>All ON</t>
        </is>
      </c>
      <c r="X21" s="1" t="n">
        <v>46246.375</v>
      </c>
    </row>
    <row r="22">
      <c r="B22" t="n">
        <v>13</v>
      </c>
      <c r="C22" t="n">
        <v>1</v>
      </c>
      <c r="G22" t="n">
        <v>41.3</v>
      </c>
      <c r="I22" t="n">
        <v>40.9</v>
      </c>
      <c r="K22" t="inlineStr">
        <is>
          <t>All ON</t>
        </is>
      </c>
    </row>
    <row r="23">
      <c r="B23" t="n">
        <v>14</v>
      </c>
      <c r="C23" t="n">
        <v>1</v>
      </c>
      <c r="G23" t="n">
        <v>33.8</v>
      </c>
      <c r="I23" t="n">
        <v>35.6</v>
      </c>
      <c r="K23" t="inlineStr">
        <is>
          <t>All ON</t>
        </is>
      </c>
    </row>
    <row r="24">
      <c r="B24" t="n">
        <v>15</v>
      </c>
    </row>
    <row r="25">
      <c r="B25" t="n">
        <v>16</v>
      </c>
    </row>
    <row r="26">
      <c r="B26" t="n">
        <v>17</v>
      </c>
    </row>
    <row r="27">
      <c r="B27" t="n">
        <v>18</v>
      </c>
    </row>
    <row r="28">
      <c r="B28" t="n">
        <v>19</v>
      </c>
    </row>
    <row r="29">
      <c r="B29" t="n">
        <v>20</v>
      </c>
    </row>
    <row r="30">
      <c r="B30" t="n">
        <v>21</v>
      </c>
    </row>
    <row r="31">
      <c r="B31" t="n">
        <v>22</v>
      </c>
    </row>
    <row r="32">
      <c r="B32" t="n">
        <v>23</v>
      </c>
    </row>
    <row r="33">
      <c r="B33" t="n">
        <v>24</v>
      </c>
    </row>
    <row r="34">
      <c r="B34" t="n">
        <v>25</v>
      </c>
    </row>
    <row r="35">
      <c r="B35" t="n">
        <v>26</v>
      </c>
    </row>
    <row r="36">
      <c r="B36" t="n">
        <v>27</v>
      </c>
    </row>
    <row r="37">
      <c r="B37" t="n">
        <v>28</v>
      </c>
    </row>
    <row r="38">
      <c r="B38" t="n">
        <v>29</v>
      </c>
    </row>
    <row r="39">
      <c r="B39" t="n">
        <v>30</v>
      </c>
    </row>
    <row r="40">
      <c r="B40" t="n">
        <v>31</v>
      </c>
    </row>
    <row r="50">
      <c r="L50" t="inlineStr">
        <is>
          <t>tanker top-up delivery</t>
        </is>
      </c>
      <c r="M50" t="n">
        <v>2.5</v>
      </c>
    </row>
    <row r="51">
      <c r="L51">
        <f>1698.3-1696.2+(0/30*5.3)</f>
        <v/>
      </c>
      <c r="N51" t="n">
        <v>5.25</v>
      </c>
    </row>
    <row r="53">
      <c r="O53" t="n">
        <v>1</v>
      </c>
      <c r="P53" t="n">
        <v>0.95</v>
      </c>
      <c r="Q53" t="n">
        <v>1.18</v>
      </c>
      <c r="R53" t="n">
        <v>1.02</v>
      </c>
    </row>
    <row r="54">
      <c r="O54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GTP demo data generator</dc:creator>
  <dcterms:created xsi:type="dcterms:W3CDTF">2026-08-18T06:55:36Z</dcterms:created>
  <dcterms:modified xsi:type="dcterms:W3CDTF">2026-08-18T06:55:36Z</dcterms:modified>
  <cp:lastModifiedBy>GTP demo data generator</cp:lastModifiedBy>
</cp:coreProperties>
</file>